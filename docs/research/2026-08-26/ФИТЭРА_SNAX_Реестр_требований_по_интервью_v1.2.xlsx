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44038dbba41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Паспорт" sheetId="1" r:id="R0b9d6c3e9cc14cdc"/>
    <x:sheet xmlns:r="http://schemas.openxmlformats.org/officeDocument/2006/relationships" name="01_Источники" sheetId="2" r:id="R7fb9a1cc06f44d1c"/>
    <x:sheet xmlns:r="http://schemas.openxmlformats.org/officeDocument/2006/relationships" name="02_Требования" sheetId="3" r:id="R7939ea9be3924a28"/>
    <x:sheet xmlns:r="http://schemas.openxmlformats.org/officeDocument/2006/relationships" name="03_Процессы" sheetId="4" r:id="R97ba6bc076f447fb"/>
    <x:sheet xmlns:r="http://schemas.openxmlformats.org/officeDocument/2006/relationships" name="04_Архитектура" sheetId="5" r:id="R294856d7e32c420a"/>
    <x:sheet xmlns:r="http://schemas.openxmlformats.org/officeDocument/2006/relationships" name="05_Дорожная_карта" sheetId="6" r:id="Rfb5151fceed04f02"/>
    <x:sheet xmlns:r="http://schemas.openxmlformats.org/officeDocument/2006/relationships" name="06_Риски" sheetId="7" r:id="R0bdb2961eb394486"/>
    <x:sheet xmlns:r="http://schemas.openxmlformats.org/officeDocument/2006/relationships" name="07_RACI" sheetId="8" r:id="Rb959f630ec044a90"/>
    <x:sheet xmlns:r="http://schemas.openxmlformats.org/officeDocument/2006/relationships" name="08_Решения" sheetId="9" r:id="R3d868b8120ec44cf"/>
    <x:sheet xmlns:r="http://schemas.openxmlformats.org/officeDocument/2006/relationships" name="09_Трассировка" sheetId="10" r:id="Re0611d7ddbb4433c"/>
    <x:sheet xmlns:r="http://schemas.openxmlformats.org/officeDocument/2006/relationships" name="10_Статус_разработки" sheetId="11" r:id="Reae58c0b114a434b"/>
    <x:sheet xmlns:r="http://schemas.openxmlformats.org/officeDocument/2006/relationships" name="11_Расширения_1С" sheetId="12" r:id="R5bdb15c09024421b"/>
    <x:sheet xmlns:r="http://schemas.openxmlformats.org/officeDocument/2006/relationships" name="12_Архитектура_Форус" sheetId="13" r:id="Rf33edb336a064fd6"/>
    <x:sheet xmlns:r="http://schemas.openxmlformats.org/officeDocument/2006/relationships" name="13_Запросы_интервью" sheetId="14" r:id="R1b4bf5f535d24c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4">
    <x:font>
      <x:sz val="11"/>
      <x:name val="Carlito"/>
    </x:font>
    <x:font>
      <x:b/>
      <x:sz val="18"/>
      <x:color rgb="FFFFFFFF"/>
      <x:name val="Arial"/>
    </x:font>
    <x:font>
      <x:i/>
      <x:sz val="11"/>
      <x:color rgb="FF1F6B43"/>
      <x:name val="Arial"/>
    </x:font>
    <x:font>
      <x:b/>
      <x:sz val="12"/>
      <x:color rgb="FF17365D"/>
      <x:name val="Carlito"/>
    </x:font>
    <x:font>
      <x:b/>
      <x:sz val="10"/>
      <x:color rgb="FF1F6B43"/>
      <x:name val="Carlito"/>
    </x:font>
    <x:font>
      <x:b/>
      <x:sz val="20"/>
      <x:color rgb="FF17365D"/>
      <x:name val="Carlito"/>
    </x:font>
    <x:font>
      <x:b/>
      <x:sz val="10"/>
      <x:color rgb="FFFFFFFF"/>
      <x:name val="Arial"/>
    </x:font>
    <x:font>
      <x:sz val="9"/>
      <x:color rgb="FF333333"/>
      <x:name val="Arial"/>
    </x:font>
    <x:font>
      <x:b/>
      <x:sz val="11"/>
      <x:color rgb="FFFFFFFF"/>
      <x:name val="Carlito"/>
    </x:font>
    <x:font>
      <x:sz val="11"/>
      <x:color rgb="FF333333"/>
      <x:name val="Carlito"/>
    </x:font>
    <x:font>
      <x:b/>
      <x:sz val="11"/>
      <x:color rgb="FF17365D"/>
      <x:name val="Carlito"/>
    </x:font>
    <x:font>
      <x:sz val="10"/>
      <x:color rgb="FF333333"/>
      <x:name val="Carlito"/>
    </x:font>
    <x:font>
      <x:b/>
      <x:sz val="10"/>
      <x:color rgb="FF333333"/>
      <x:name val="Carlito"/>
    </x:font>
    <x:font>
      <x:b/>
      <x:sz val="9"/>
      <x:color rgb="FFFFFFFF"/>
      <x:name val="Arial"/>
    </x:font>
    <x:font>
      <x:b/>
      <x:sz val="9"/>
      <x:color rgb="FF17365D"/>
      <x:name val="Arial"/>
    </x:font>
    <x:font>
      <x:b/>
      <x:sz val="11"/>
      <x:color rgb="FF9C0006"/>
      <x:name val="Carlito"/>
    </x:font>
    <x:font>
      <x:b/>
      <x:i/>
      <x:sz val="11"/>
      <x:color rgb="FF2F6B3A"/>
      <x:name val="Arial"/>
    </x:font>
    <x:font>
      <x:b/>
      <x:sz val="11"/>
      <x:color rgb="FF2F6B3A"/>
      <x:name val="Carlito"/>
    </x:font>
    <x:font>
      <x:b/>
      <x:sz val="9"/>
      <x:color rgb="FF2F6B3A"/>
      <x:name val="Arial"/>
    </x:font>
    <x:font>
      <x:b/>
      <x:sz val="11"/>
      <x:name val="Carlito"/>
    </x:font>
    <x:font>
      <x:b/>
      <x:sz val="18"/>
      <x:color rgb="FFFFFFFF"/>
      <x:name val="Carlito"/>
    </x:font>
    <x:font>
      <x:i/>
      <x:sz val="11"/>
      <x:color rgb="FF1F6D45"/>
      <x:name val="Carlito"/>
    </x:font>
    <x:font>
      <x:sz val="10"/>
      <x:color rgb="FF263238"/>
      <x:name val="Carlito"/>
    </x:font>
    <x:font>
      <x:b/>
      <x:sz val="18"/>
      <x:color rgb="FF17365D"/>
      <x:name val="Carlito"/>
    </x:font>
  </x:fonts>
  <x:fills count="3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4E2"/>
      </x:patternFill>
    </x:fill>
    <x:fill>
      <x:patternFill patternType="solid">
        <x:fgColor rgb="FF8DC63F"/>
      </x:patternFill>
    </x:fill>
    <x:fill>
      <x:patternFill patternType="solid">
        <x:fgColor rgb="FFFFFFFF"/>
      </x:patternFill>
    </x:fill>
    <x:fill>
      <x:patternFill patternType="solid">
        <x:fgColor rgb="FF1F6B43"/>
      </x:patternFill>
    </x:fill>
    <x:fill>
      <x:patternFill patternType="solid">
        <x:fgColor rgb="FFFFF2CC"/>
      </x:patternFill>
    </x:fill>
    <x:fill>
      <x:patternFill patternType="solid">
        <x:fgColor rgb="FFDCE6F1"/>
      </x:patternFill>
    </x:fill>
    <x:fill>
      <x:patternFill patternType="solid">
        <x:fgColor rgb="FFF2F2F2"/>
      </x:patternFill>
    </x:fill>
    <x:fill>
      <x:patternFill patternType="solid">
        <x:fgColor rgb="FF2F7D4A"/>
      </x:patternFill>
    </x:fill>
    <x:fill>
      <x:patternFill patternType="solid">
        <x:fgColor rgb="FF4C956C"/>
      </x:patternFill>
    </x:fill>
    <x:fill>
      <x:patternFill patternType="solid">
        <x:fgColor rgb="FF68B984"/>
      </x:patternFill>
    </x:fill>
    <x:fill>
      <x:patternFill patternType="solid">
        <x:fgColor rgb="FF264D73"/>
      </x:patternFill>
    </x:fill>
    <x:fill>
      <x:patternFill patternType="solid">
        <x:fgColor rgb="FF3D85C6"/>
      </x:patternFill>
    </x:fill>
    <x:fill>
      <x:patternFill patternType="solid">
        <x:fgColor rgb="FF7662A5"/>
      </x:patternFill>
    </x:fill>
    <x:fill>
      <x:patternFill patternType="solid">
        <x:fgColor rgb="FFE3AA2E"/>
      </x:patternFill>
    </x:fill>
    <x:fill>
      <x:patternFill patternType="solid">
        <x:fgColor rgb="FF8A9999"/>
      </x:patternFill>
    </x:fill>
    <x:fill>
      <x:patternFill patternType="solid">
        <x:fgColor rgb="FFF4CCCC"/>
      </x:patternFill>
    </x:fill>
    <x:fill>
      <x:patternFill patternType="solid">
        <x:fgColor rgb="FF2F6B3A"/>
      </x:patternFill>
    </x:fill>
    <x:fill>
      <x:patternFill patternType="solid">
        <x:fgColor rgb="FFE7F1E3"/>
      </x:patternFill>
    </x:fill>
    <x:fill>
      <x:patternFill patternType="solid">
        <x:fgColor rgb="FFFFF200"/>
      </x:patternFill>
    </x:fill>
    <x:fill>
      <x:patternFill patternType="solid">
        <x:fgColor rgb="FFFCE5CD"/>
      </x:patternFill>
    </x:fill>
    <x:fill>
      <x:patternFill patternType="solid">
        <x:fgColor rgb="FFF4CCCC"/>
      </x:patternFill>
    </x:fill>
    <x:fill>
      <x:patternFill patternType="solid">
        <x:fgColor rgb="FF17365D"/>
      </x:patternFill>
    </x:fill>
    <x:fill>
      <x:patternFill patternType="solid">
        <x:fgColor rgb="FFEAF4E2"/>
      </x:patternFill>
    </x:fill>
    <x:fill>
      <x:patternFill patternType="solid">
        <x:fgColor rgb="FF17365D"/>
      </x:patternFill>
    </x:fill>
    <x:fill>
      <x:patternFill patternType="solid">
        <x:fgColor rgb="FFEAF4E3"/>
      </x:patternFill>
    </x:fill>
    <x:fill>
      <x:patternFill patternType="solid">
        <x:fgColor rgb="FF1F6D45"/>
      </x:patternFill>
    </x:fill>
    <x:fill>
      <x:patternFill patternType="solid">
        <x:fgColor rgb="FFEEF5FB"/>
      </x:patternFill>
    </x:fill>
    <x:fill>
      <x:patternFill patternType="solid">
        <x:fgColor rgb="FFF3F1F8"/>
      </x:patternFill>
    </x:fill>
    <x:fill>
      <x:patternFill patternType="solid">
        <x:fgColor rgb="FFFFF6E5"/>
      </x:patternFill>
    </x:fill>
    <x:fill>
      <x:patternFill patternType="solid">
        <x:fgColor rgb="FFEAF4F4"/>
      </x:patternFill>
    </x:fill>
    <x:fill>
      <x:patternFill patternType="solid">
        <x:fgColor rgb="FFD9EAF7"/>
      </x:patternFill>
    </x:fill>
  </x:fills>
  <x:borders count="11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0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/>
    <x:xf numFmtId="0" fontId="4" fillId="3" borderId="3" xfId="0" applyNumberFormat="1" applyFont="1" applyFill="1" applyBorder="1"/>
    <x:xf numFmtId="0" fontId="4" fillId="3" borderId="3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4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/>
    </x:xf>
    <x:xf numFmtId="0" fontId="5" fillId="5" borderId="6" xfId="0" applyNumberFormat="1" applyFont="1" applyFill="1" applyBorder="1" applyAlignment="1">
      <x:alignment horizontal="center"/>
    </x:xf>
    <x:xf numFmtId="0" fontId="5" fillId="5" borderId="7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8" xfId="0" applyNumberFormat="1" applyFont="1" applyFill="1" applyBorder="1" applyAlignment="1">
      <x:alignment horizontal="center"/>
    </x:xf>
    <x:xf numFmtId="0" fontId="5" fillId="5" borderId="9" xfId="0" applyNumberFormat="1" applyFont="1" applyFill="1" applyBorder="1" applyAlignment="1">
      <x:alignment horizontal="center"/>
    </x:xf>
    <x:xf numFmtId="0" fontId="5" fillId="5" borderId="10" xfId="0" applyNumberFormat="1" applyFont="1" applyFill="1" applyBorder="1" applyAlignment="1">
      <x:alignment horizontal="center"/>
    </x:xf>
    <x:xf numFmtId="0" fontId="5" fillId="5" borderId="11" xfId="0" applyNumberFormat="1" applyFont="1" applyFill="1" applyBorder="1" applyAlignment="1">
      <x:alignment horizont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5" fillId="5" borderId="10" xfId="0" applyNumberFormat="1" applyFont="1" applyFill="1" applyBorder="1" applyAlignment="1">
      <x:alignment horizontal="center" vertical="center"/>
    </x:xf>
    <x:xf numFmtId="0" fontId="5" fillId="5" borderId="1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2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horizontal="center" wrapText="1"/>
    </x:xf>
    <x:xf numFmtId="0" fontId="6" fillId="6" borderId="13" xfId="0" applyNumberFormat="1" applyFont="1" applyFill="1" applyBorder="1" applyAlignment="1">
      <x:alignment horizontal="center" wrapText="1"/>
    </x:xf>
    <x:xf numFmtId="0" fontId="6" fillId="6" borderId="14" xfId="0" applyNumberFormat="1" applyFont="1" applyFill="1" applyBorder="1" applyAlignment="1">
      <x:alignment horizontal="center" wrapText="1"/>
    </x:xf>
    <x:xf numFmtId="0" fontId="6" fillId="6" borderId="12" xfId="0" applyNumberFormat="1" applyFont="1" applyFill="1" applyBorder="1" applyAlignment="1">
      <x:alignment horizontal="center" vertical="center" wrapText="1"/>
    </x:xf>
    <x:xf numFmtId="0" fontId="6" fillId="6" borderId="13" xfId="0" applyNumberFormat="1" applyFont="1" applyFill="1" applyBorder="1" applyAlignment="1">
      <x:alignment horizontal="center" vertical="center" wrapText="1"/>
    </x:xf>
    <x:xf numFmtId="0" fontId="6" fillId="6" borderId="14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5" xfId="0" applyNumberFormat="1" applyFont="1" applyFill="1" applyBorder="1"/>
    <x:xf numFmtId="0" fontId="6" fillId="6" borderId="16" xfId="0" applyNumberFormat="1" applyFont="1" applyFill="1" applyBorder="1"/>
    <x:xf numFmtId="0" fontId="6" fillId="6" borderId="17" xfId="0" applyNumberFormat="1" applyFont="1" applyFill="1" applyBorder="1"/>
    <x:xf numFmtId="0" fontId="6" fillId="6" borderId="15" xfId="0" applyNumberFormat="1" applyFont="1" applyFill="1" applyBorder="1" applyAlignment="1">
      <x:alignment wrapText="1"/>
    </x:xf>
    <x:xf numFmtId="0" fontId="6" fillId="6" borderId="16" xfId="0" applyNumberFormat="1" applyFont="1" applyFill="1" applyBorder="1" applyAlignment="1">
      <x:alignment wrapText="1"/>
    </x:xf>
    <x:xf numFmtId="0" fontId="6" fillId="6" borderId="17" xfId="0" applyNumberFormat="1" applyFont="1" applyFill="1" applyBorder="1" applyAlignment="1">
      <x:alignment wrapText="1"/>
    </x:xf>
    <x:xf numFmtId="0" fontId="6" fillId="6" borderId="15" xfId="0" applyNumberFormat="1" applyFont="1" applyFill="1" applyBorder="1" applyAlignment="1">
      <x:alignment horizontal="center" wrapText="1"/>
    </x:xf>
    <x:xf numFmtId="0" fontId="6" fillId="6" borderId="16" xfId="0" applyNumberFormat="1" applyFont="1" applyFill="1" applyBorder="1" applyAlignment="1">
      <x:alignment horizontal="center" wrapText="1"/>
    </x:xf>
    <x:xf numFmtId="0" fontId="6" fillId="6" borderId="17" xfId="0" applyNumberFormat="1" applyFont="1" applyFill="1" applyBorder="1" applyAlignment="1">
      <x:alignment horizontal="center" wrapText="1"/>
    </x:xf>
    <x:xf numFmtId="0" fontId="6" fillId="6" borderId="15" xfId="0" applyNumberFormat="1" applyFont="1" applyFill="1" applyBorder="1" applyAlignment="1">
      <x:alignment horizontal="center" vertical="center" wrapText="1"/>
    </x:xf>
    <x:xf numFmtId="0" fontId="6" fillId="6" borderId="16" xfId="0" applyNumberFormat="1" applyFont="1" applyFill="1" applyBorder="1" applyAlignment="1">
      <x:alignment horizontal="center" vertical="center" wrapText="1"/>
    </x:xf>
    <x:xf numFmtId="0" fontId="6" fillId="6" borderId="17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18" xfId="0" applyNumberFormat="1" applyFont="1" applyFill="1" applyBorder="1"/>
    <x:xf numFmtId="0" fontId="7" fillId="0" borderId="19" xfId="0" applyNumberFormat="1" applyFont="1" applyFill="1" applyBorder="1"/>
    <x:xf numFmtId="0" fontId="7" fillId="0" borderId="20" xfId="0" applyNumberFormat="1" applyFont="1" applyFill="1" applyBorder="1"/>
    <x:xf numFmtId="0" fontId="7" fillId="0" borderId="21" xfId="0" applyNumberFormat="1" applyFont="1" applyFill="1" applyBorder="1"/>
    <x:xf numFmtId="0" fontId="7" fillId="0" borderId="22" xfId="0" applyNumberFormat="1" applyFont="1" applyFill="1" applyBorder="1"/>
    <x:xf numFmtId="0" fontId="7" fillId="0" borderId="23" xfId="0" applyNumberFormat="1" applyFont="1" applyFill="1" applyBorder="1"/>
    <x:xf numFmtId="0" fontId="7" fillId="0" borderId="24" xfId="0" applyNumberFormat="1" applyFont="1" applyFill="1" applyBorder="1"/>
    <x:xf numFmtId="0" fontId="7" fillId="0" borderId="25" xfId="0" applyNumberFormat="1" applyFont="1" applyFill="1" applyBorder="1"/>
    <x:xf numFmtId="0" fontId="7" fillId="0" borderId="18" xfId="0" applyNumberFormat="1" applyFont="1" applyFill="1" applyBorder="1" applyAlignment="1">
      <x:alignment wrapText="1"/>
    </x:xf>
    <x:xf numFmtId="0" fontId="7" fillId="0" borderId="19" xfId="0" applyNumberFormat="1" applyFont="1" applyFill="1" applyBorder="1" applyAlignment="1">
      <x:alignment wrapText="1"/>
    </x:xf>
    <x:xf numFmtId="0" fontId="7" fillId="0" borderId="20" xfId="0" applyNumberFormat="1" applyFont="1" applyFill="1" applyBorder="1" applyAlignment="1">
      <x:alignment wrapText="1"/>
    </x:xf>
    <x:xf numFmtId="0" fontId="7" fillId="0" borderId="21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22" xfId="0" applyNumberFormat="1" applyFont="1" applyFill="1" applyBorder="1" applyAlignment="1">
      <x:alignment wrapText="1"/>
    </x:xf>
    <x:xf numFmtId="0" fontId="7" fillId="0" borderId="23" xfId="0" applyNumberFormat="1" applyFont="1" applyFill="1" applyBorder="1" applyAlignment="1">
      <x:alignment wrapText="1"/>
    </x:xf>
    <x:xf numFmtId="0" fontId="7" fillId="0" borderId="24" xfId="0" applyNumberFormat="1" applyFont="1" applyFill="1" applyBorder="1" applyAlignment="1">
      <x:alignment wrapText="1"/>
    </x:xf>
    <x:xf numFmtId="0" fontId="7" fillId="0" borderId="25" xfId="0" applyNumberFormat="1" applyFont="1" applyFill="1" applyBorder="1" applyAlignment="1">
      <x:alignment wrapText="1"/>
    </x:xf>
    <x:xf numFmtId="0" fontId="7" fillId="0" borderId="18" xfId="0" applyNumberFormat="1" applyFont="1" applyFill="1" applyBorder="1" applyAlignment="1">
      <x:alignment vertical="top" wrapText="1"/>
    </x:xf>
    <x:xf numFmtId="0" fontId="7" fillId="0" borderId="19" xfId="0" applyNumberFormat="1" applyFont="1" applyFill="1" applyBorder="1" applyAlignment="1">
      <x:alignment vertical="top" wrapText="1"/>
    </x:xf>
    <x:xf numFmtId="0" fontId="7" fillId="0" borderId="20" xfId="0" applyNumberFormat="1" applyFont="1" applyFill="1" applyBorder="1" applyAlignment="1">
      <x:alignment vertical="top" wrapText="1"/>
    </x:xf>
    <x:xf numFmtId="0" fontId="7" fillId="0" borderId="2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2" xfId="0" applyNumberFormat="1" applyFont="1" applyFill="1" applyBorder="1" applyAlignment="1">
      <x:alignment vertical="top" wrapText="1"/>
    </x:xf>
    <x:xf numFmtId="0" fontId="7" fillId="0" borderId="23" xfId="0" applyNumberFormat="1" applyFont="1" applyFill="1" applyBorder="1" applyAlignment="1">
      <x:alignment vertical="top" wrapText="1"/>
    </x:xf>
    <x:xf numFmtId="0" fontId="7" fillId="0" borderId="24" xfId="0" applyNumberFormat="1" applyFont="1" applyFill="1" applyBorder="1" applyAlignment="1">
      <x:alignment vertical="top" wrapText="1"/>
    </x:xf>
    <x:xf numFmtId="0" fontId="7" fillId="0" borderId="25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/>
    <x:xf numFmtId="0" fontId="7" fillId="0" borderId="26" xfId="0" applyNumberFormat="1" applyFont="1" applyFill="1" applyBorder="1"/>
    <x:xf numFmtId="0" fontId="7" fillId="0" borderId="27" xfId="0" applyNumberFormat="1" applyFont="1" applyFill="1" applyBorder="1"/>
    <x:xf numFmtId="0" fontId="7" fillId="0" borderId="28" xfId="0" applyNumberFormat="1" applyFont="1" applyFill="1" applyBorder="1"/>
    <x:xf numFmtId="0" fontId="7" fillId="0" borderId="29" xfId="0" applyNumberFormat="1" applyFont="1" applyFill="1" applyBorder="1"/>
    <x:xf numFmtId="0" fontId="7" fillId="0" borderId="30" xfId="0" applyNumberFormat="1" applyFont="1" applyFill="1" applyBorder="1"/>
    <x:xf numFmtId="0" fontId="7" fillId="0" borderId="31" xfId="0" applyNumberFormat="1" applyFont="1" applyFill="1" applyBorder="1"/>
    <x:xf numFmtId="0" fontId="7" fillId="0" borderId="32" xfId="0" applyNumberFormat="1" applyFont="1" applyFill="1" applyBorder="1"/>
    <x:xf numFmtId="0" fontId="7" fillId="0" borderId="33" xfId="0" applyNumberFormat="1" applyFont="1" applyFill="1" applyBorder="1"/>
    <x:xf numFmtId="0" fontId="7" fillId="0" borderId="26" xfId="0" applyNumberFormat="1" applyFont="1" applyFill="1" applyBorder="1" applyAlignment="1">
      <x:alignment wrapText="1"/>
    </x:xf>
    <x:xf numFmtId="0" fontId="7" fillId="0" borderId="27" xfId="0" applyNumberFormat="1" applyFont="1" applyFill="1" applyBorder="1" applyAlignment="1">
      <x:alignment wrapText="1"/>
    </x:xf>
    <x:xf numFmtId="0" fontId="7" fillId="0" borderId="28" xfId="0" applyNumberFormat="1" applyFont="1" applyFill="1" applyBorder="1" applyAlignment="1">
      <x:alignment wrapText="1"/>
    </x:xf>
    <x:xf numFmtId="0" fontId="7" fillId="0" borderId="29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30" xfId="0" applyNumberFormat="1" applyFont="1" applyFill="1" applyBorder="1" applyAlignment="1">
      <x:alignment wrapText="1"/>
    </x:xf>
    <x:xf numFmtId="0" fontId="7" fillId="0" borderId="31" xfId="0" applyNumberFormat="1" applyFont="1" applyFill="1" applyBorder="1" applyAlignment="1">
      <x:alignment wrapText="1"/>
    </x:xf>
    <x:xf numFmtId="0" fontId="7" fillId="0" borderId="32" xfId="0" applyNumberFormat="1" applyFont="1" applyFill="1" applyBorder="1" applyAlignment="1">
      <x:alignment wrapText="1"/>
    </x:xf>
    <x:xf numFmtId="0" fontId="7" fillId="0" borderId="33" xfId="0" applyNumberFormat="1" applyFont="1" applyFill="1" applyBorder="1" applyAlignment="1">
      <x:alignment wrapText="1"/>
    </x:xf>
    <x:xf numFmtId="0" fontId="7" fillId="0" borderId="26" xfId="0" applyNumberFormat="1" applyFont="1" applyFill="1" applyBorder="1" applyAlignment="1">
      <x:alignment vertical="top" wrapText="1"/>
    </x:xf>
    <x:xf numFmtId="0" fontId="7" fillId="0" borderId="27" xfId="0" applyNumberFormat="1" applyFont="1" applyFill="1" applyBorder="1" applyAlignment="1">
      <x:alignment vertical="top" wrapText="1"/>
    </x:xf>
    <x:xf numFmtId="0" fontId="7" fillId="0" borderId="28" xfId="0" applyNumberFormat="1" applyFont="1" applyFill="1" applyBorder="1" applyAlignment="1">
      <x:alignment vertical="top" wrapText="1"/>
    </x:xf>
    <x:xf numFmtId="0" fontId="7" fillId="0" borderId="29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30" xfId="0" applyNumberFormat="1" applyFont="1" applyFill="1" applyBorder="1" applyAlignment="1">
      <x:alignment vertical="top" wrapText="1"/>
    </x:xf>
    <x:xf numFmtId="0" fontId="7" fillId="0" borderId="31" xfId="0" applyNumberFormat="1" applyFont="1" applyFill="1" applyBorder="1" applyAlignment="1">
      <x:alignment vertical="top" wrapText="1"/>
    </x:xf>
    <x:xf numFmtId="0" fontId="7" fillId="0" borderId="32" xfId="0" applyNumberFormat="1" applyFont="1" applyFill="1" applyBorder="1" applyAlignment="1">
      <x:alignment vertical="top" wrapText="1"/>
    </x:xf>
    <x:xf numFmtId="0" fontId="7" fillId="0" borderId="33" xfId="0" applyNumberFormat="1" applyFont="1" applyFill="1" applyBorder="1" applyAlignment="1">
      <x:alignment vertical="top" wrapText="1"/>
    </x:xf>
    <x:xf numFmtId="0" fontId="7" fillId="0" borderId="19" xfId="0" applyNumberFormat="1" applyFont="1" applyFill="1" applyBorder="1" applyAlignment="1">
      <x:alignment horizontal="center" vertical="top" wrapText="1"/>
    </x:xf>
    <x:xf numFmtId="0" fontId="7" fillId="0" borderId="20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horizontal="center" vertical="top" wrapText="1"/>
    </x:xf>
    <x:xf numFmtId="0" fontId="7" fillId="0" borderId="22" xfId="0" applyNumberFormat="1" applyFont="1" applyFill="1" applyBorder="1" applyAlignment="1">
      <x:alignment horizontal="center" vertical="top" wrapText="1"/>
    </x:xf>
    <x:xf numFmtId="0" fontId="7" fillId="0" borderId="24" xfId="0" applyNumberFormat="1" applyFont="1" applyFill="1" applyBorder="1" applyAlignment="1">
      <x:alignment horizontal="center" vertical="top" wrapText="1"/>
    </x:xf>
    <x:xf numFmtId="0" fontId="7" fillId="0" borderId="25" xfId="0" applyNumberFormat="1" applyFont="1" applyFill="1" applyBorder="1" applyAlignment="1">
      <x:alignment horizontal="center" vertical="top" wrapText="1"/>
    </x:xf>
    <x:xf numFmtId="0" fontId="7" fillId="0" borderId="27" xfId="0" applyNumberFormat="1" applyFont="1" applyFill="1" applyBorder="1" applyAlignment="1">
      <x:alignment horizontal="center" vertical="top" wrapText="1"/>
    </x:xf>
    <x:xf numFmtId="0" fontId="7" fillId="0" borderId="28" xfId="0" applyNumberFormat="1" applyFont="1" applyFill="1" applyBorder="1" applyAlignment="1">
      <x:alignment horizontal="center" vertical="top" wrapText="1"/>
    </x:xf>
    <x:xf numFmtId="0" fontId="7" fillId="0" borderId="1" xfId="0" applyNumberFormat="1" applyFont="1" applyFill="1" applyBorder="1" applyAlignment="1">
      <x:alignment horizontal="center" vertical="top" wrapText="1"/>
    </x:xf>
    <x:xf numFmtId="0" fontId="7" fillId="0" borderId="30" xfId="0" applyNumberFormat="1" applyFont="1" applyFill="1" applyBorder="1" applyAlignment="1">
      <x:alignment horizontal="center" vertical="top" wrapText="1"/>
    </x:xf>
    <x:xf numFmtId="0" fontId="7" fillId="0" borderId="32" xfId="0" applyNumberFormat="1" applyFont="1" applyFill="1" applyBorder="1" applyAlignment="1">
      <x:alignment horizontal="center" vertical="top" wrapText="1"/>
    </x:xf>
    <x:xf numFmtId="0" fontId="7" fillId="0" borderId="33" xfId="0" applyNumberFormat="1" applyFont="1" applyFill="1" applyBorder="1" applyAlignment="1">
      <x:alignment horizontal="center" vertical="top" wrapText="1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left"/>
    </x:xf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34" xfId="0" applyNumberFormat="1" applyFont="1" applyFill="1" applyBorder="1"/>
    <x:xf numFmtId="0" fontId="9" fillId="7" borderId="35" xfId="0" applyNumberFormat="1" applyFont="1" applyFill="1" applyBorder="1"/>
    <x:xf numFmtId="0" fontId="9" fillId="7" borderId="36" xfId="0" applyNumberFormat="1" applyFont="1" applyFill="1" applyBorder="1"/>
    <x:xf numFmtId="0" fontId="9" fillId="7" borderId="37" xfId="0" applyNumberFormat="1" applyFont="1" applyFill="1" applyBorder="1"/>
    <x:xf numFmtId="0" fontId="9" fillId="7" borderId="38" xfId="0" applyNumberFormat="1" applyFont="1" applyFill="1" applyBorder="1"/>
    <x:xf numFmtId="0" fontId="9" fillId="7" borderId="39" xfId="0" applyNumberFormat="1" applyFont="1" applyFill="1" applyBorder="1"/>
    <x:xf numFmtId="0" fontId="9" fillId="7" borderId="40" xfId="0" applyNumberFormat="1" applyFont="1" applyFill="1" applyBorder="1"/>
    <x:xf numFmtId="0" fontId="9" fillId="7" borderId="41" xfId="0" applyNumberFormat="1" applyFont="1" applyFill="1" applyBorder="1"/>
    <x:xf numFmtId="0" fontId="9" fillId="7" borderId="34" xfId="0" applyNumberFormat="1" applyFont="1" applyFill="1" applyBorder="1" applyAlignment="1">
      <x:alignment wrapText="1"/>
    </x:xf>
    <x:xf numFmtId="0" fontId="9" fillId="7" borderId="35" xfId="0" applyNumberFormat="1" applyFont="1" applyFill="1" applyBorder="1" applyAlignment="1">
      <x:alignment wrapText="1"/>
    </x:xf>
    <x:xf numFmtId="0" fontId="9" fillId="7" borderId="36" xfId="0" applyNumberFormat="1" applyFont="1" applyFill="1" applyBorder="1" applyAlignment="1">
      <x:alignment wrapText="1"/>
    </x:xf>
    <x:xf numFmtId="0" fontId="9" fillId="7" borderId="37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9" fillId="7" borderId="38" xfId="0" applyNumberFormat="1" applyFont="1" applyFill="1" applyBorder="1" applyAlignment="1">
      <x:alignment wrapText="1"/>
    </x:xf>
    <x:xf numFmtId="0" fontId="9" fillId="7" borderId="39" xfId="0" applyNumberFormat="1" applyFont="1" applyFill="1" applyBorder="1" applyAlignment="1">
      <x:alignment wrapText="1"/>
    </x:xf>
    <x:xf numFmtId="0" fontId="9" fillId="7" borderId="40" xfId="0" applyNumberFormat="1" applyFont="1" applyFill="1" applyBorder="1" applyAlignment="1">
      <x:alignment wrapText="1"/>
    </x:xf>
    <x:xf numFmtId="0" fontId="9" fillId="7" borderId="41" xfId="0" applyNumberFormat="1" applyFont="1" applyFill="1" applyBorder="1" applyAlignment="1">
      <x:alignment wrapText="1"/>
    </x:xf>
    <x:xf numFmtId="0" fontId="9" fillId="7" borderId="34" xfId="0" applyNumberFormat="1" applyFont="1" applyFill="1" applyBorder="1" applyAlignment="1">
      <x:alignment vertical="top" wrapText="1"/>
    </x:xf>
    <x:xf numFmtId="0" fontId="9" fillId="7" borderId="35" xfId="0" applyNumberFormat="1" applyFont="1" applyFill="1" applyBorder="1" applyAlignment="1">
      <x:alignment vertical="top" wrapText="1"/>
    </x:xf>
    <x:xf numFmtId="0" fontId="9" fillId="7" borderId="36" xfId="0" applyNumberFormat="1" applyFont="1" applyFill="1" applyBorder="1" applyAlignment="1">
      <x:alignment vertical="top" wrapText="1"/>
    </x:xf>
    <x:xf numFmtId="0" fontId="9" fillId="7" borderId="37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9" fillId="7" borderId="38" xfId="0" applyNumberFormat="1" applyFont="1" applyFill="1" applyBorder="1" applyAlignment="1">
      <x:alignment vertical="top" wrapText="1"/>
    </x:xf>
    <x:xf numFmtId="0" fontId="9" fillId="7" borderId="39" xfId="0" applyNumberFormat="1" applyFont="1" applyFill="1" applyBorder="1" applyAlignment="1">
      <x:alignment vertical="top" wrapText="1"/>
    </x:xf>
    <x:xf numFmtId="0" fontId="9" fillId="7" borderId="40" xfId="0" applyNumberFormat="1" applyFont="1" applyFill="1" applyBorder="1" applyAlignment="1">
      <x:alignment vertical="top" wrapText="1"/>
    </x:xf>
    <x:xf numFmtId="0" fontId="9" fillId="7" borderId="4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9" fillId="7" borderId="1" xfId="0" applyNumberFormat="1" applyFont="1" applyFill="1" applyBorder="1"/>
    <x:xf numFmtId="0" fontId="9" fillId="7" borderId="42" xfId="0" applyNumberFormat="1" applyFont="1" applyFill="1" applyBorder="1"/>
    <x:xf numFmtId="0" fontId="9" fillId="7" borderId="43" xfId="0" applyNumberFormat="1" applyFont="1" applyFill="1" applyBorder="1"/>
    <x:xf numFmtId="0" fontId="9" fillId="7" borderId="44" xfId="0" applyNumberFormat="1" applyFont="1" applyFill="1" applyBorder="1"/>
    <x:xf numFmtId="0" fontId="9" fillId="7" borderId="45" xfId="0" applyNumberFormat="1" applyFont="1" applyFill="1" applyBorder="1"/>
    <x:xf numFmtId="0" fontId="9" fillId="7" borderId="46" xfId="0" applyNumberFormat="1" applyFont="1" applyFill="1" applyBorder="1"/>
    <x:xf numFmtId="0" fontId="9" fillId="7" borderId="47" xfId="0" applyNumberFormat="1" applyFont="1" applyFill="1" applyBorder="1"/>
    <x:xf numFmtId="0" fontId="9" fillId="7" borderId="48" xfId="0" applyNumberFormat="1" applyFont="1" applyFill="1" applyBorder="1"/>
    <x:xf numFmtId="0" fontId="9" fillId="7" borderId="49" xfId="0" applyNumberFormat="1" applyFont="1" applyFill="1" applyBorder="1"/>
    <x:xf numFmtId="0" fontId="9" fillId="7" borderId="42" xfId="0" applyNumberFormat="1" applyFont="1" applyFill="1" applyBorder="1" applyAlignment="1">
      <x:alignment wrapText="1"/>
    </x:xf>
    <x:xf numFmtId="0" fontId="9" fillId="7" borderId="43" xfId="0" applyNumberFormat="1" applyFont="1" applyFill="1" applyBorder="1" applyAlignment="1">
      <x:alignment wrapText="1"/>
    </x:xf>
    <x:xf numFmtId="0" fontId="9" fillId="7" borderId="44" xfId="0" applyNumberFormat="1" applyFont="1" applyFill="1" applyBorder="1" applyAlignment="1">
      <x:alignment wrapText="1"/>
    </x:xf>
    <x:xf numFmtId="0" fontId="9" fillId="7" borderId="45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wrapText="1"/>
    </x:xf>
    <x:xf numFmtId="0" fontId="9" fillId="7" borderId="46" xfId="0" applyNumberFormat="1" applyFont="1" applyFill="1" applyBorder="1" applyAlignment="1">
      <x:alignment wrapText="1"/>
    </x:xf>
    <x:xf numFmtId="0" fontId="9" fillId="7" borderId="47" xfId="0" applyNumberFormat="1" applyFont="1" applyFill="1" applyBorder="1" applyAlignment="1">
      <x:alignment wrapText="1"/>
    </x:xf>
    <x:xf numFmtId="0" fontId="9" fillId="7" borderId="48" xfId="0" applyNumberFormat="1" applyFont="1" applyFill="1" applyBorder="1" applyAlignment="1">
      <x:alignment wrapText="1"/>
    </x:xf>
    <x:xf numFmtId="0" fontId="9" fillId="7" borderId="49" xfId="0" applyNumberFormat="1" applyFont="1" applyFill="1" applyBorder="1" applyAlignment="1">
      <x:alignment wrapText="1"/>
    </x:xf>
    <x:xf numFmtId="0" fontId="9" fillId="7" borderId="42" xfId="0" applyNumberFormat="1" applyFont="1" applyFill="1" applyBorder="1" applyAlignment="1">
      <x:alignment vertical="top" wrapText="1"/>
    </x:xf>
    <x:xf numFmtId="0" fontId="9" fillId="7" borderId="43" xfId="0" applyNumberFormat="1" applyFont="1" applyFill="1" applyBorder="1" applyAlignment="1">
      <x:alignment vertical="top" wrapText="1"/>
    </x:xf>
    <x:xf numFmtId="0" fontId="9" fillId="7" borderId="44" xfId="0" applyNumberFormat="1" applyFont="1" applyFill="1" applyBorder="1" applyAlignment="1">
      <x:alignment vertical="top" wrapText="1"/>
    </x:xf>
    <x:xf numFmtId="0" fontId="9" fillId="7" borderId="45" xfId="0" applyNumberFormat="1" applyFont="1" applyFill="1" applyBorder="1" applyAlignment="1">
      <x:alignment vertical="top" wrapText="1"/>
    </x:xf>
    <x:xf numFmtId="0" fontId="9" fillId="7" borderId="1" xfId="0" applyNumberFormat="1" applyFont="1" applyFill="1" applyBorder="1" applyAlignment="1">
      <x:alignment vertical="top" wrapText="1"/>
    </x:xf>
    <x:xf numFmtId="0" fontId="9" fillId="7" borderId="46" xfId="0" applyNumberFormat="1" applyFont="1" applyFill="1" applyBorder="1" applyAlignment="1">
      <x:alignment vertical="top" wrapText="1"/>
    </x:xf>
    <x:xf numFmtId="0" fontId="9" fillId="7" borderId="47" xfId="0" applyNumberFormat="1" applyFont="1" applyFill="1" applyBorder="1" applyAlignment="1">
      <x:alignment vertical="top" wrapText="1"/>
    </x:xf>
    <x:xf numFmtId="0" fontId="9" fillId="7" borderId="48" xfId="0" applyNumberFormat="1" applyFont="1" applyFill="1" applyBorder="1" applyAlignment="1">
      <x:alignment vertical="top" wrapText="1"/>
    </x:xf>
    <x:xf numFmtId="0" fontId="9" fillId="7" borderId="49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0" fillId="8" borderId="1" xfId="0" applyNumberFormat="1" applyFont="1" applyFill="1" applyBorder="1"/>
    <x:xf numFmtId="0" fontId="10" fillId="8" borderId="1" xfId="0" applyNumberFormat="1" applyFont="1" applyFill="1" applyBorder="1"/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18" xfId="0" applyNumberFormat="1" applyFont="1" applyFill="1" applyBorder="1"/>
    <x:xf numFmtId="0" fontId="11" fillId="9" borderId="19" xfId="0" applyNumberFormat="1" applyFont="1" applyFill="1" applyBorder="1"/>
    <x:xf numFmtId="0" fontId="11" fillId="9" borderId="20" xfId="0" applyNumberFormat="1" applyFont="1" applyFill="1" applyBorder="1"/>
    <x:xf numFmtId="0" fontId="11" fillId="9" borderId="21" xfId="0" applyNumberFormat="1" applyFont="1" applyFill="1" applyBorder="1"/>
    <x:xf numFmtId="0" fontId="11" fillId="9" borderId="22" xfId="0" applyNumberFormat="1" applyFont="1" applyFill="1" applyBorder="1"/>
    <x:xf numFmtId="0" fontId="11" fillId="9" borderId="23" xfId="0" applyNumberFormat="1" applyFont="1" applyFill="1" applyBorder="1"/>
    <x:xf numFmtId="0" fontId="11" fillId="9" borderId="24" xfId="0" applyNumberFormat="1" applyFont="1" applyFill="1" applyBorder="1"/>
    <x:xf numFmtId="0" fontId="11" fillId="9" borderId="25" xfId="0" applyNumberFormat="1" applyFont="1" applyFill="1" applyBorder="1"/>
    <x:xf numFmtId="0" fontId="11" fillId="9" borderId="18" xfId="0" applyNumberFormat="1" applyFont="1" applyFill="1" applyBorder="1" applyAlignment="1">
      <x:alignment wrapText="1"/>
    </x:xf>
    <x:xf numFmtId="0" fontId="11" fillId="9" borderId="19" xfId="0" applyNumberFormat="1" applyFont="1" applyFill="1" applyBorder="1" applyAlignment="1">
      <x:alignment wrapText="1"/>
    </x:xf>
    <x:xf numFmtId="0" fontId="11" fillId="9" borderId="20" xfId="0" applyNumberFormat="1" applyFont="1" applyFill="1" applyBorder="1" applyAlignment="1">
      <x:alignment wrapText="1"/>
    </x:xf>
    <x:xf numFmtId="0" fontId="11" fillId="9" borderId="21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wrapText="1"/>
    </x:xf>
    <x:xf numFmtId="0" fontId="11" fillId="9" borderId="22" xfId="0" applyNumberFormat="1" applyFont="1" applyFill="1" applyBorder="1" applyAlignment="1">
      <x:alignment wrapText="1"/>
    </x:xf>
    <x:xf numFmtId="0" fontId="11" fillId="9" borderId="23" xfId="0" applyNumberFormat="1" applyFont="1" applyFill="1" applyBorder="1" applyAlignment="1">
      <x:alignment wrapText="1"/>
    </x:xf>
    <x:xf numFmtId="0" fontId="11" fillId="9" borderId="24" xfId="0" applyNumberFormat="1" applyFont="1" applyFill="1" applyBorder="1" applyAlignment="1">
      <x:alignment wrapText="1"/>
    </x:xf>
    <x:xf numFmtId="0" fontId="11" fillId="9" borderId="25" xfId="0" applyNumberFormat="1" applyFont="1" applyFill="1" applyBorder="1" applyAlignment="1">
      <x:alignment wrapText="1"/>
    </x:xf>
    <x:xf numFmtId="0" fontId="11" fillId="9" borderId="18" xfId="0" applyNumberFormat="1" applyFont="1" applyFill="1" applyBorder="1" applyAlignment="1">
      <x:alignment vertical="top" wrapText="1"/>
    </x:xf>
    <x:xf numFmtId="0" fontId="11" fillId="9" borderId="19" xfId="0" applyNumberFormat="1" applyFont="1" applyFill="1" applyBorder="1" applyAlignment="1">
      <x:alignment vertical="top" wrapText="1"/>
    </x:xf>
    <x:xf numFmtId="0" fontId="11" fillId="9" borderId="20" xfId="0" applyNumberFormat="1" applyFont="1" applyFill="1" applyBorder="1" applyAlignment="1">
      <x:alignment vertical="top" wrapText="1"/>
    </x:xf>
    <x:xf numFmtId="0" fontId="11" fillId="9" borderId="21" xfId="0" applyNumberFormat="1" applyFont="1" applyFill="1" applyBorder="1" applyAlignment="1">
      <x:alignment vertical="top" wrapText="1"/>
    </x:xf>
    <x:xf numFmtId="0" fontId="11" fillId="9" borderId="0" xfId="0" applyNumberFormat="1" applyFont="1" applyFill="1" applyBorder="1" applyAlignment="1">
      <x:alignment vertical="top" wrapText="1"/>
    </x:xf>
    <x:xf numFmtId="0" fontId="11" fillId="9" borderId="22" xfId="0" applyNumberFormat="1" applyFont="1" applyFill="1" applyBorder="1" applyAlignment="1">
      <x:alignment vertical="top" wrapText="1"/>
    </x:xf>
    <x:xf numFmtId="0" fontId="11" fillId="9" borderId="23" xfId="0" applyNumberFormat="1" applyFont="1" applyFill="1" applyBorder="1" applyAlignment="1">
      <x:alignment vertical="top" wrapText="1"/>
    </x:xf>
    <x:xf numFmtId="0" fontId="11" fillId="9" borderId="24" xfId="0" applyNumberFormat="1" applyFont="1" applyFill="1" applyBorder="1" applyAlignment="1">
      <x:alignment vertical="top" wrapText="1"/>
    </x:xf>
    <x:xf numFmtId="0" fontId="11" fillId="9" borderId="25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/>
    <x:xf numFmtId="0" fontId="11" fillId="9" borderId="1" xfId="0" applyNumberFormat="1" applyFont="1" applyFill="1" applyBorder="1"/>
    <x:xf numFmtId="0" fontId="11" fillId="9" borderId="26" xfId="0" applyNumberFormat="1" applyFont="1" applyFill="1" applyBorder="1"/>
    <x:xf numFmtId="0" fontId="11" fillId="9" borderId="27" xfId="0" applyNumberFormat="1" applyFont="1" applyFill="1" applyBorder="1"/>
    <x:xf numFmtId="0" fontId="11" fillId="9" borderId="28" xfId="0" applyNumberFormat="1" applyFont="1" applyFill="1" applyBorder="1"/>
    <x:xf numFmtId="0" fontId="11" fillId="9" borderId="29" xfId="0" applyNumberFormat="1" applyFont="1" applyFill="1" applyBorder="1"/>
    <x:xf numFmtId="0" fontId="11" fillId="9" borderId="30" xfId="0" applyNumberFormat="1" applyFont="1" applyFill="1" applyBorder="1"/>
    <x:xf numFmtId="0" fontId="11" fillId="9" borderId="31" xfId="0" applyNumberFormat="1" applyFont="1" applyFill="1" applyBorder="1"/>
    <x:xf numFmtId="0" fontId="11" fillId="9" borderId="32" xfId="0" applyNumberFormat="1" applyFont="1" applyFill="1" applyBorder="1"/>
    <x:xf numFmtId="0" fontId="11" fillId="9" borderId="33" xfId="0" applyNumberFormat="1" applyFont="1" applyFill="1" applyBorder="1"/>
    <x:xf numFmtId="0" fontId="11" fillId="9" borderId="26" xfId="0" applyNumberFormat="1" applyFont="1" applyFill="1" applyBorder="1" applyAlignment="1">
      <x:alignment wrapText="1"/>
    </x:xf>
    <x:xf numFmtId="0" fontId="11" fillId="9" borderId="27" xfId="0" applyNumberFormat="1" applyFont="1" applyFill="1" applyBorder="1" applyAlignment="1">
      <x:alignment wrapText="1"/>
    </x:xf>
    <x:xf numFmtId="0" fontId="11" fillId="9" borderId="28" xfId="0" applyNumberFormat="1" applyFont="1" applyFill="1" applyBorder="1" applyAlignment="1">
      <x:alignment wrapText="1"/>
    </x:xf>
    <x:xf numFmtId="0" fontId="11" fillId="9" borderId="29" xfId="0" applyNumberFormat="1" applyFont="1" applyFill="1" applyBorder="1" applyAlignment="1">
      <x:alignment wrapText="1"/>
    </x:xf>
    <x:xf numFmtId="0" fontId="11" fillId="9" borderId="1" xfId="0" applyNumberFormat="1" applyFont="1" applyFill="1" applyBorder="1" applyAlignment="1">
      <x:alignment wrapText="1"/>
    </x:xf>
    <x:xf numFmtId="0" fontId="11" fillId="9" borderId="30" xfId="0" applyNumberFormat="1" applyFont="1" applyFill="1" applyBorder="1" applyAlignment="1">
      <x:alignment wrapText="1"/>
    </x:xf>
    <x:xf numFmtId="0" fontId="11" fillId="9" borderId="31" xfId="0" applyNumberFormat="1" applyFont="1" applyFill="1" applyBorder="1" applyAlignment="1">
      <x:alignment wrapText="1"/>
    </x:xf>
    <x:xf numFmtId="0" fontId="11" fillId="9" borderId="32" xfId="0" applyNumberFormat="1" applyFont="1" applyFill="1" applyBorder="1" applyAlignment="1">
      <x:alignment wrapText="1"/>
    </x:xf>
    <x:xf numFmtId="0" fontId="11" fillId="9" borderId="33" xfId="0" applyNumberFormat="1" applyFont="1" applyFill="1" applyBorder="1" applyAlignment="1">
      <x:alignment wrapText="1"/>
    </x:xf>
    <x:xf numFmtId="0" fontId="11" fillId="9" borderId="26" xfId="0" applyNumberFormat="1" applyFont="1" applyFill="1" applyBorder="1" applyAlignment="1">
      <x:alignment vertical="top" wrapText="1"/>
    </x:xf>
    <x:xf numFmtId="0" fontId="11" fillId="9" borderId="27" xfId="0" applyNumberFormat="1" applyFont="1" applyFill="1" applyBorder="1" applyAlignment="1">
      <x:alignment vertical="top" wrapText="1"/>
    </x:xf>
    <x:xf numFmtId="0" fontId="11" fillId="9" borderId="28" xfId="0" applyNumberFormat="1" applyFont="1" applyFill="1" applyBorder="1" applyAlignment="1">
      <x:alignment vertical="top" wrapText="1"/>
    </x:xf>
    <x:xf numFmtId="0" fontId="11" fillId="9" borderId="29" xfId="0" applyNumberFormat="1" applyFont="1" applyFill="1" applyBorder="1" applyAlignment="1">
      <x:alignment vertical="top" wrapText="1"/>
    </x:xf>
    <x:xf numFmtId="0" fontId="11" fillId="9" borderId="1" xfId="0" applyNumberFormat="1" applyFont="1" applyFill="1" applyBorder="1" applyAlignment="1">
      <x:alignment vertical="top" wrapText="1"/>
    </x:xf>
    <x:xf numFmtId="0" fontId="11" fillId="9" borderId="30" xfId="0" applyNumberFormat="1" applyFont="1" applyFill="1" applyBorder="1" applyAlignment="1">
      <x:alignment vertical="top" wrapText="1"/>
    </x:xf>
    <x:xf numFmtId="0" fontId="11" fillId="9" borderId="31" xfId="0" applyNumberFormat="1" applyFont="1" applyFill="1" applyBorder="1" applyAlignment="1">
      <x:alignment vertical="top" wrapText="1"/>
    </x:xf>
    <x:xf numFmtId="0" fontId="11" fillId="9" borderId="32" xfId="0" applyNumberFormat="1" applyFont="1" applyFill="1" applyBorder="1" applyAlignment="1">
      <x:alignment vertical="top" wrapText="1"/>
    </x:xf>
    <x:xf numFmtId="0" fontId="11" fillId="9" borderId="33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/>
    <x:xf numFmtId="0" fontId="10" fillId="4" borderId="1" xfId="0" applyNumberFormat="1" applyFont="1" applyFill="1" applyBorder="1"/>
    <x:xf numFmtId="0" fontId="10" fillId="7" borderId="0" xfId="0" applyNumberFormat="1" applyFont="1" applyFill="1" applyBorder="1"/>
    <x:xf numFmtId="0" fontId="10" fillId="7" borderId="34" xfId="0" applyNumberFormat="1" applyFont="1" applyFill="1" applyBorder="1"/>
    <x:xf numFmtId="0" fontId="10" fillId="7" borderId="35" xfId="0" applyNumberFormat="1" applyFont="1" applyFill="1" applyBorder="1"/>
    <x:xf numFmtId="0" fontId="10" fillId="7" borderId="36" xfId="0" applyNumberFormat="1" applyFont="1" applyFill="1" applyBorder="1"/>
    <x:xf numFmtId="0" fontId="10" fillId="7" borderId="39" xfId="0" applyNumberFormat="1" applyFont="1" applyFill="1" applyBorder="1"/>
    <x:xf numFmtId="0" fontId="10" fillId="7" borderId="40" xfId="0" applyNumberFormat="1" applyFont="1" applyFill="1" applyBorder="1"/>
    <x:xf numFmtId="0" fontId="10" fillId="7" borderId="41" xfId="0" applyNumberFormat="1" applyFont="1" applyFill="1" applyBorder="1"/>
    <x:xf numFmtId="0" fontId="10" fillId="7" borderId="34" xfId="0" applyNumberFormat="1" applyFont="1" applyFill="1" applyBorder="1" applyAlignment="1">
      <x:alignment wrapText="1"/>
    </x:xf>
    <x:xf numFmtId="0" fontId="10" fillId="7" borderId="35" xfId="0" applyNumberFormat="1" applyFont="1" applyFill="1" applyBorder="1" applyAlignment="1">
      <x:alignment wrapText="1"/>
    </x:xf>
    <x:xf numFmtId="0" fontId="10" fillId="7" borderId="36" xfId="0" applyNumberFormat="1" applyFont="1" applyFill="1" applyBorder="1" applyAlignment="1">
      <x:alignment wrapText="1"/>
    </x:xf>
    <x:xf numFmtId="0" fontId="10" fillId="7" borderId="39" xfId="0" applyNumberFormat="1" applyFont="1" applyFill="1" applyBorder="1" applyAlignment="1">
      <x:alignment wrapText="1"/>
    </x:xf>
    <x:xf numFmtId="0" fontId="10" fillId="7" borderId="40" xfId="0" applyNumberFormat="1" applyFont="1" applyFill="1" applyBorder="1" applyAlignment="1">
      <x:alignment wrapText="1"/>
    </x:xf>
    <x:xf numFmtId="0" fontId="10" fillId="7" borderId="41" xfId="0" applyNumberFormat="1" applyFont="1" applyFill="1" applyBorder="1" applyAlignment="1">
      <x:alignment wrapText="1"/>
    </x:xf>
    <x:xf numFmtId="0" fontId="10" fillId="7" borderId="34" xfId="0" applyNumberFormat="1" applyFont="1" applyFill="1" applyBorder="1" applyAlignment="1">
      <x:alignment vertical="center" wrapText="1"/>
    </x:xf>
    <x:xf numFmtId="0" fontId="10" fillId="7" borderId="35" xfId="0" applyNumberFormat="1" applyFont="1" applyFill="1" applyBorder="1" applyAlignment="1">
      <x:alignment vertical="center" wrapText="1"/>
    </x:xf>
    <x:xf numFmtId="0" fontId="10" fillId="7" borderId="36" xfId="0" applyNumberFormat="1" applyFont="1" applyFill="1" applyBorder="1" applyAlignment="1">
      <x:alignment vertical="center" wrapText="1"/>
    </x:xf>
    <x:xf numFmtId="0" fontId="10" fillId="7" borderId="39" xfId="0" applyNumberFormat="1" applyFont="1" applyFill="1" applyBorder="1" applyAlignment="1">
      <x:alignment vertical="center" wrapText="1"/>
    </x:xf>
    <x:xf numFmtId="0" fontId="10" fillId="7" borderId="40" xfId="0" applyNumberFormat="1" applyFont="1" applyFill="1" applyBorder="1" applyAlignment="1">
      <x:alignment vertical="center" wrapText="1"/>
    </x:xf>
    <x:xf numFmtId="0" fontId="10" fillId="7" borderId="41" xfId="0" applyNumberFormat="1" applyFont="1" applyFill="1" applyBorder="1" applyAlignment="1">
      <x:alignment vertical="center" wrapText="1"/>
    </x:xf>
    <x:xf numFmtId="0" fontId="10" fillId="7" borderId="1" xfId="0" applyNumberFormat="1" applyFont="1" applyFill="1" applyBorder="1"/>
    <x:xf numFmtId="0" fontId="10" fillId="7" borderId="42" xfId="0" applyNumberFormat="1" applyFont="1" applyFill="1" applyBorder="1"/>
    <x:xf numFmtId="0" fontId="10" fillId="7" borderId="43" xfId="0" applyNumberFormat="1" applyFont="1" applyFill="1" applyBorder="1"/>
    <x:xf numFmtId="0" fontId="10" fillId="7" borderId="44" xfId="0" applyNumberFormat="1" applyFont="1" applyFill="1" applyBorder="1"/>
    <x:xf numFmtId="0" fontId="10" fillId="7" borderId="47" xfId="0" applyNumberFormat="1" applyFont="1" applyFill="1" applyBorder="1"/>
    <x:xf numFmtId="0" fontId="10" fillId="7" borderId="48" xfId="0" applyNumberFormat="1" applyFont="1" applyFill="1" applyBorder="1"/>
    <x:xf numFmtId="0" fontId="10" fillId="7" borderId="49" xfId="0" applyNumberFormat="1" applyFont="1" applyFill="1" applyBorder="1"/>
    <x:xf numFmtId="0" fontId="10" fillId="7" borderId="42" xfId="0" applyNumberFormat="1" applyFont="1" applyFill="1" applyBorder="1" applyAlignment="1">
      <x:alignment wrapText="1"/>
    </x:xf>
    <x:xf numFmtId="0" fontId="10" fillId="7" borderId="43" xfId="0" applyNumberFormat="1" applyFont="1" applyFill="1" applyBorder="1" applyAlignment="1">
      <x:alignment wrapText="1"/>
    </x:xf>
    <x:xf numFmtId="0" fontId="10" fillId="7" borderId="44" xfId="0" applyNumberFormat="1" applyFont="1" applyFill="1" applyBorder="1" applyAlignment="1">
      <x:alignment wrapText="1"/>
    </x:xf>
    <x:xf numFmtId="0" fontId="10" fillId="7" borderId="47" xfId="0" applyNumberFormat="1" applyFont="1" applyFill="1" applyBorder="1" applyAlignment="1">
      <x:alignment wrapText="1"/>
    </x:xf>
    <x:xf numFmtId="0" fontId="10" fillId="7" borderId="48" xfId="0" applyNumberFormat="1" applyFont="1" applyFill="1" applyBorder="1" applyAlignment="1">
      <x:alignment wrapText="1"/>
    </x:xf>
    <x:xf numFmtId="0" fontId="10" fillId="7" borderId="49" xfId="0" applyNumberFormat="1" applyFont="1" applyFill="1" applyBorder="1" applyAlignment="1">
      <x:alignment wrapText="1"/>
    </x:xf>
    <x:xf numFmtId="0" fontId="10" fillId="7" borderId="42" xfId="0" applyNumberFormat="1" applyFont="1" applyFill="1" applyBorder="1" applyAlignment="1">
      <x:alignment vertical="center" wrapText="1"/>
    </x:xf>
    <x:xf numFmtId="0" fontId="10" fillId="7" borderId="43" xfId="0" applyNumberFormat="1" applyFont="1" applyFill="1" applyBorder="1" applyAlignment="1">
      <x:alignment vertical="center" wrapText="1"/>
    </x:xf>
    <x:xf numFmtId="0" fontId="10" fillId="7" borderId="44" xfId="0" applyNumberFormat="1" applyFont="1" applyFill="1" applyBorder="1" applyAlignment="1">
      <x:alignment vertical="center" wrapText="1"/>
    </x:xf>
    <x:xf numFmtId="0" fontId="10" fillId="7" borderId="47" xfId="0" applyNumberFormat="1" applyFont="1" applyFill="1" applyBorder="1" applyAlignment="1">
      <x:alignment vertical="center" wrapText="1"/>
    </x:xf>
    <x:xf numFmtId="0" fontId="10" fillId="7" borderId="48" xfId="0" applyNumberFormat="1" applyFont="1" applyFill="1" applyBorder="1" applyAlignment="1">
      <x:alignment vertical="center" wrapText="1"/>
    </x:xf>
    <x:xf numFmtId="0" fontId="10" fillId="7" borderId="49" xfId="0" applyNumberFormat="1" applyFont="1" applyFill="1" applyBorder="1" applyAlignment="1">
      <x:alignment vertical="center" wrapText="1"/>
    </x:xf>
    <x:xf numFmtId="0" fontId="10" fillId="7" borderId="50" xfId="0" applyNumberFormat="1" applyFont="1" applyFill="1" applyBorder="1"/>
    <x:xf numFmtId="0" fontId="10" fillId="7" borderId="51" xfId="0" applyNumberFormat="1" applyFont="1" applyFill="1" applyBorder="1"/>
    <x:xf numFmtId="0" fontId="10" fillId="7" borderId="52" xfId="0" applyNumberFormat="1" applyFont="1" applyFill="1" applyBorder="1"/>
    <x:xf numFmtId="0" fontId="10" fillId="7" borderId="53" xfId="0" applyNumberFormat="1" applyFont="1" applyFill="1" applyBorder="1"/>
    <x:xf numFmtId="0" fontId="10" fillId="7" borderId="54" xfId="0" applyNumberFormat="1" applyFont="1" applyFill="1" applyBorder="1"/>
    <x:xf numFmtId="0" fontId="10" fillId="7" borderId="55" xfId="0" applyNumberFormat="1" applyFont="1" applyFill="1" applyBorder="1"/>
    <x:xf numFmtId="0" fontId="10" fillId="7" borderId="56" xfId="0" applyNumberFormat="1" applyFont="1" applyFill="1" applyBorder="1"/>
    <x:xf numFmtId="0" fontId="10" fillId="7" borderId="57" xfId="0" applyNumberFormat="1" applyFont="1" applyFill="1" applyBorder="1"/>
    <x:xf numFmtId="0" fontId="10" fillId="7" borderId="50" xfId="0" applyNumberFormat="1" applyFont="1" applyFill="1" applyBorder="1" applyAlignment="1">
      <x:alignment wrapText="1"/>
    </x:xf>
    <x:xf numFmtId="0" fontId="10" fillId="7" borderId="51" xfId="0" applyNumberFormat="1" applyFont="1" applyFill="1" applyBorder="1" applyAlignment="1">
      <x:alignment wrapText="1"/>
    </x:xf>
    <x:xf numFmtId="0" fontId="10" fillId="7" borderId="52" xfId="0" applyNumberFormat="1" applyFont="1" applyFill="1" applyBorder="1" applyAlignment="1">
      <x:alignment wrapText="1"/>
    </x:xf>
    <x:xf numFmtId="0" fontId="10" fillId="7" borderId="53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54" xfId="0" applyNumberFormat="1" applyFont="1" applyFill="1" applyBorder="1" applyAlignment="1">
      <x:alignment wrapText="1"/>
    </x:xf>
    <x:xf numFmtId="0" fontId="10" fillId="7" borderId="55" xfId="0" applyNumberFormat="1" applyFont="1" applyFill="1" applyBorder="1" applyAlignment="1">
      <x:alignment wrapText="1"/>
    </x:xf>
    <x:xf numFmtId="0" fontId="10" fillId="7" borderId="56" xfId="0" applyNumberFormat="1" applyFont="1" applyFill="1" applyBorder="1" applyAlignment="1">
      <x:alignment wrapText="1"/>
    </x:xf>
    <x:xf numFmtId="0" fontId="10" fillId="7" borderId="57" xfId="0" applyNumberFormat="1" applyFont="1" applyFill="1" applyBorder="1" applyAlignment="1">
      <x:alignment wrapText="1"/>
    </x:xf>
    <x:xf numFmtId="0" fontId="10" fillId="7" borderId="50" xfId="0" applyNumberFormat="1" applyFont="1" applyFill="1" applyBorder="1" applyAlignment="1">
      <x:alignment horizontal="center" wrapText="1"/>
    </x:xf>
    <x:xf numFmtId="0" fontId="10" fillId="7" borderId="51" xfId="0" applyNumberFormat="1" applyFont="1" applyFill="1" applyBorder="1" applyAlignment="1">
      <x:alignment horizontal="center" wrapText="1"/>
    </x:xf>
    <x:xf numFmtId="0" fontId="10" fillId="7" borderId="52" xfId="0" applyNumberFormat="1" applyFont="1" applyFill="1" applyBorder="1" applyAlignment="1">
      <x:alignment horizontal="center" wrapText="1"/>
    </x:xf>
    <x:xf numFmtId="0" fontId="10" fillId="7" borderId="53" xfId="0" applyNumberFormat="1" applyFont="1" applyFill="1" applyBorder="1" applyAlignment="1">
      <x:alignment horizontal="center" wrapText="1"/>
    </x:xf>
    <x:xf numFmtId="0" fontId="10" fillId="7" borderId="0" xfId="0" applyNumberFormat="1" applyFont="1" applyFill="1" applyBorder="1" applyAlignment="1">
      <x:alignment horizontal="center" wrapText="1"/>
    </x:xf>
    <x:xf numFmtId="0" fontId="10" fillId="7" borderId="54" xfId="0" applyNumberFormat="1" applyFont="1" applyFill="1" applyBorder="1" applyAlignment="1">
      <x:alignment horizontal="center" wrapText="1"/>
    </x:xf>
    <x:xf numFmtId="0" fontId="10" fillId="7" borderId="55" xfId="0" applyNumberFormat="1" applyFont="1" applyFill="1" applyBorder="1" applyAlignment="1">
      <x:alignment horizontal="center" wrapText="1"/>
    </x:xf>
    <x:xf numFmtId="0" fontId="10" fillId="7" borderId="56" xfId="0" applyNumberFormat="1" applyFont="1" applyFill="1" applyBorder="1" applyAlignment="1">
      <x:alignment horizontal="center" wrapText="1"/>
    </x:xf>
    <x:xf numFmtId="0" fontId="10" fillId="7" borderId="57" xfId="0" applyNumberFormat="1" applyFont="1" applyFill="1" applyBorder="1" applyAlignment="1">
      <x:alignment horizontal="center" wrapText="1"/>
    </x:xf>
    <x:xf numFmtId="0" fontId="10" fillId="7" borderId="50" xfId="0" applyNumberFormat="1" applyFont="1" applyFill="1" applyBorder="1" applyAlignment="1">
      <x:alignment horizontal="center" vertical="center" wrapText="1"/>
    </x:xf>
    <x:xf numFmtId="0" fontId="10" fillId="7" borderId="51" xfId="0" applyNumberFormat="1" applyFont="1" applyFill="1" applyBorder="1" applyAlignment="1">
      <x:alignment horizontal="center" vertical="center" wrapText="1"/>
    </x:xf>
    <x:xf numFmtId="0" fontId="10" fillId="7" borderId="52" xfId="0" applyNumberFormat="1" applyFont="1" applyFill="1" applyBorder="1" applyAlignment="1">
      <x:alignment horizontal="center" vertical="center" wrapText="1"/>
    </x:xf>
    <x:xf numFmtId="0" fontId="10" fillId="7" borderId="53" xfId="0" applyNumberFormat="1" applyFont="1" applyFill="1" applyBorder="1" applyAlignment="1">
      <x:alignment horizontal="center" vertical="center"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10" fillId="7" borderId="54" xfId="0" applyNumberFormat="1" applyFont="1" applyFill="1" applyBorder="1" applyAlignment="1">
      <x:alignment horizontal="center" vertical="center" wrapText="1"/>
    </x:xf>
    <x:xf numFmtId="0" fontId="10" fillId="7" borderId="55" xfId="0" applyNumberFormat="1" applyFont="1" applyFill="1" applyBorder="1" applyAlignment="1">
      <x:alignment horizontal="center" vertical="center" wrapText="1"/>
    </x:xf>
    <x:xf numFmtId="0" fontId="10" fillId="7" borderId="56" xfId="0" applyNumberFormat="1" applyFont="1" applyFill="1" applyBorder="1" applyAlignment="1">
      <x:alignment horizontal="center" vertical="center" wrapText="1"/>
    </x:xf>
    <x:xf numFmtId="0" fontId="10" fillId="7" borderId="57" xfId="0" applyNumberFormat="1" applyFont="1" applyFill="1" applyBorder="1" applyAlignment="1">
      <x:alignment horizontal="center" vertical="center" wrapText="1"/>
    </x:xf>
    <x:xf numFmtId="0" fontId="10" fillId="7" borderId="58" xfId="0" applyNumberFormat="1" applyFont="1" applyFill="1" applyBorder="1"/>
    <x:xf numFmtId="0" fontId="10" fillId="7" borderId="59" xfId="0" applyNumberFormat="1" applyFont="1" applyFill="1" applyBorder="1"/>
    <x:xf numFmtId="0" fontId="10" fillId="7" borderId="60" xfId="0" applyNumberFormat="1" applyFont="1" applyFill="1" applyBorder="1"/>
    <x:xf numFmtId="0" fontId="10" fillId="7" borderId="61" xfId="0" applyNumberFormat="1" applyFont="1" applyFill="1" applyBorder="1"/>
    <x:xf numFmtId="0" fontId="10" fillId="7" borderId="62" xfId="0" applyNumberFormat="1" applyFont="1" applyFill="1" applyBorder="1"/>
    <x:xf numFmtId="0" fontId="10" fillId="7" borderId="63" xfId="0" applyNumberFormat="1" applyFont="1" applyFill="1" applyBorder="1"/>
    <x:xf numFmtId="0" fontId="10" fillId="7" borderId="64" xfId="0" applyNumberFormat="1" applyFont="1" applyFill="1" applyBorder="1"/>
    <x:xf numFmtId="0" fontId="10" fillId="7" borderId="65" xfId="0" applyNumberFormat="1" applyFont="1" applyFill="1" applyBorder="1"/>
    <x:xf numFmtId="0" fontId="10" fillId="7" borderId="58" xfId="0" applyNumberFormat="1" applyFont="1" applyFill="1" applyBorder="1" applyAlignment="1">
      <x:alignment wrapText="1"/>
    </x:xf>
    <x:xf numFmtId="0" fontId="10" fillId="7" borderId="59" xfId="0" applyNumberFormat="1" applyFont="1" applyFill="1" applyBorder="1" applyAlignment="1">
      <x:alignment wrapText="1"/>
    </x:xf>
    <x:xf numFmtId="0" fontId="10" fillId="7" borderId="60" xfId="0" applyNumberFormat="1" applyFont="1" applyFill="1" applyBorder="1" applyAlignment="1">
      <x:alignment wrapText="1"/>
    </x:xf>
    <x:xf numFmtId="0" fontId="10" fillId="7" borderId="61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wrapText="1"/>
    </x:xf>
    <x:xf numFmtId="0" fontId="10" fillId="7" borderId="62" xfId="0" applyNumberFormat="1" applyFont="1" applyFill="1" applyBorder="1" applyAlignment="1">
      <x:alignment wrapText="1"/>
    </x:xf>
    <x:xf numFmtId="0" fontId="10" fillId="7" borderId="63" xfId="0" applyNumberFormat="1" applyFont="1" applyFill="1" applyBorder="1" applyAlignment="1">
      <x:alignment wrapText="1"/>
    </x:xf>
    <x:xf numFmtId="0" fontId="10" fillId="7" borderId="64" xfId="0" applyNumberFormat="1" applyFont="1" applyFill="1" applyBorder="1" applyAlignment="1">
      <x:alignment wrapText="1"/>
    </x:xf>
    <x:xf numFmtId="0" fontId="10" fillId="7" borderId="65" xfId="0" applyNumberFormat="1" applyFont="1" applyFill="1" applyBorder="1" applyAlignment="1">
      <x:alignment wrapText="1"/>
    </x:xf>
    <x:xf numFmtId="0" fontId="10" fillId="7" borderId="58" xfId="0" applyNumberFormat="1" applyFont="1" applyFill="1" applyBorder="1" applyAlignment="1">
      <x:alignment horizontal="center" wrapText="1"/>
    </x:xf>
    <x:xf numFmtId="0" fontId="10" fillId="7" borderId="59" xfId="0" applyNumberFormat="1" applyFont="1" applyFill="1" applyBorder="1" applyAlignment="1">
      <x:alignment horizontal="center" wrapText="1"/>
    </x:xf>
    <x:xf numFmtId="0" fontId="10" fillId="7" borderId="60" xfId="0" applyNumberFormat="1" applyFont="1" applyFill="1" applyBorder="1" applyAlignment="1">
      <x:alignment horizontal="center" wrapText="1"/>
    </x:xf>
    <x:xf numFmtId="0" fontId="10" fillId="7" borderId="61" xfId="0" applyNumberFormat="1" applyFont="1" applyFill="1" applyBorder="1" applyAlignment="1">
      <x:alignment horizontal="center" wrapText="1"/>
    </x:xf>
    <x:xf numFmtId="0" fontId="10" fillId="7" borderId="1" xfId="0" applyNumberFormat="1" applyFont="1" applyFill="1" applyBorder="1" applyAlignment="1">
      <x:alignment horizontal="center" wrapText="1"/>
    </x:xf>
    <x:xf numFmtId="0" fontId="10" fillId="7" borderId="62" xfId="0" applyNumberFormat="1" applyFont="1" applyFill="1" applyBorder="1" applyAlignment="1">
      <x:alignment horizontal="center" wrapText="1"/>
    </x:xf>
    <x:xf numFmtId="0" fontId="10" fillId="7" borderId="63" xfId="0" applyNumberFormat="1" applyFont="1" applyFill="1" applyBorder="1" applyAlignment="1">
      <x:alignment horizontal="center" wrapText="1"/>
    </x:xf>
    <x:xf numFmtId="0" fontId="10" fillId="7" borderId="64" xfId="0" applyNumberFormat="1" applyFont="1" applyFill="1" applyBorder="1" applyAlignment="1">
      <x:alignment horizontal="center" wrapText="1"/>
    </x:xf>
    <x:xf numFmtId="0" fontId="10" fillId="7" borderId="65" xfId="0" applyNumberFormat="1" applyFont="1" applyFill="1" applyBorder="1" applyAlignment="1">
      <x:alignment horizontal="center" wrapText="1"/>
    </x:xf>
    <x:xf numFmtId="0" fontId="10" fillId="7" borderId="58" xfId="0" applyNumberFormat="1" applyFont="1" applyFill="1" applyBorder="1" applyAlignment="1">
      <x:alignment horizontal="center" vertical="center" wrapText="1"/>
    </x:xf>
    <x:xf numFmtId="0" fontId="10" fillId="7" borderId="59" xfId="0" applyNumberFormat="1" applyFont="1" applyFill="1" applyBorder="1" applyAlignment="1">
      <x:alignment horizontal="center" vertical="center" wrapText="1"/>
    </x:xf>
    <x:xf numFmtId="0" fontId="10" fillId="7" borderId="60" xfId="0" applyNumberFormat="1" applyFont="1" applyFill="1" applyBorder="1" applyAlignment="1">
      <x:alignment horizontal="center" vertical="center" wrapText="1"/>
    </x:xf>
    <x:xf numFmtId="0" fontId="10" fillId="7" borderId="61" xfId="0" applyNumberFormat="1" applyFont="1" applyFill="1" applyBorder="1" applyAlignment="1">
      <x:alignment horizontal="center" vertic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0" fillId="7" borderId="62" xfId="0" applyNumberFormat="1" applyFont="1" applyFill="1" applyBorder="1" applyAlignment="1">
      <x:alignment horizontal="center" vertical="center" wrapText="1"/>
    </x:xf>
    <x:xf numFmtId="0" fontId="10" fillId="7" borderId="63" xfId="0" applyNumberFormat="1" applyFont="1" applyFill="1" applyBorder="1" applyAlignment="1">
      <x:alignment horizontal="center" vertical="center" wrapText="1"/>
    </x:xf>
    <x:xf numFmtId="0" fontId="10" fillId="7" borderId="64" xfId="0" applyNumberFormat="1" applyFont="1" applyFill="1" applyBorder="1" applyAlignment="1">
      <x:alignment horizontal="center" vertical="center" wrapText="1"/>
    </x:xf>
    <x:xf numFmtId="0" fontId="10" fillId="7" borderId="65" xfId="0" applyNumberFormat="1" applyFont="1" applyFill="1" applyBorder="1" applyAlignment="1">
      <x:alignment horizontal="center" vertical="center" wrapText="1"/>
    </x:xf>
    <x:xf numFmtId="0" fontId="10" fillId="3" borderId="0" xfId="0" applyNumberFormat="1" applyFont="1" applyFill="1" applyBorder="1"/>
    <x:xf numFmtId="0" fontId="10" fillId="3" borderId="50" xfId="0" applyNumberFormat="1" applyFont="1" applyFill="1" applyBorder="1"/>
    <x:xf numFmtId="0" fontId="10" fillId="3" borderId="51" xfId="0" applyNumberFormat="1" applyFont="1" applyFill="1" applyBorder="1"/>
    <x:xf numFmtId="0" fontId="10" fillId="3" borderId="52" xfId="0" applyNumberFormat="1" applyFont="1" applyFill="1" applyBorder="1"/>
    <x:xf numFmtId="0" fontId="10" fillId="3" borderId="53" xfId="0" applyNumberFormat="1" applyFont="1" applyFill="1" applyBorder="1"/>
    <x:xf numFmtId="0" fontId="10" fillId="3" borderId="54" xfId="0" applyNumberFormat="1" applyFont="1" applyFill="1" applyBorder="1"/>
    <x:xf numFmtId="0" fontId="10" fillId="3" borderId="55" xfId="0" applyNumberFormat="1" applyFont="1" applyFill="1" applyBorder="1"/>
    <x:xf numFmtId="0" fontId="10" fillId="3" borderId="56" xfId="0" applyNumberFormat="1" applyFont="1" applyFill="1" applyBorder="1"/>
    <x:xf numFmtId="0" fontId="10" fillId="3" borderId="57" xfId="0" applyNumberFormat="1" applyFont="1" applyFill="1" applyBorder="1"/>
    <x:xf numFmtId="0" fontId="10" fillId="3" borderId="50" xfId="0" applyNumberFormat="1" applyFont="1" applyFill="1" applyBorder="1" applyAlignment="1">
      <x:alignment wrapText="1"/>
    </x:xf>
    <x:xf numFmtId="0" fontId="10" fillId="3" borderId="51" xfId="0" applyNumberFormat="1" applyFont="1" applyFill="1" applyBorder="1" applyAlignment="1">
      <x:alignment wrapText="1"/>
    </x:xf>
    <x:xf numFmtId="0" fontId="10" fillId="3" borderId="52" xfId="0" applyNumberFormat="1" applyFont="1" applyFill="1" applyBorder="1" applyAlignment="1">
      <x:alignment wrapText="1"/>
    </x:xf>
    <x:xf numFmtId="0" fontId="10" fillId="3" borderId="53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wrapText="1"/>
    </x:xf>
    <x:xf numFmtId="0" fontId="10" fillId="3" borderId="54" xfId="0" applyNumberFormat="1" applyFont="1" applyFill="1" applyBorder="1" applyAlignment="1">
      <x:alignment wrapText="1"/>
    </x:xf>
    <x:xf numFmtId="0" fontId="10" fillId="3" borderId="55" xfId="0" applyNumberFormat="1" applyFont="1" applyFill="1" applyBorder="1" applyAlignment="1">
      <x:alignment wrapText="1"/>
    </x:xf>
    <x:xf numFmtId="0" fontId="10" fillId="3" borderId="56" xfId="0" applyNumberFormat="1" applyFont="1" applyFill="1" applyBorder="1" applyAlignment="1">
      <x:alignment wrapText="1"/>
    </x:xf>
    <x:xf numFmtId="0" fontId="10" fillId="3" borderId="57" xfId="0" applyNumberFormat="1" applyFont="1" applyFill="1" applyBorder="1" applyAlignment="1">
      <x:alignment wrapText="1"/>
    </x:xf>
    <x:xf numFmtId="0" fontId="10" fillId="3" borderId="50" xfId="0" applyNumberFormat="1" applyFont="1" applyFill="1" applyBorder="1" applyAlignment="1">
      <x:alignment horizontal="center" wrapText="1"/>
    </x:xf>
    <x:xf numFmtId="0" fontId="10" fillId="3" borderId="51" xfId="0" applyNumberFormat="1" applyFont="1" applyFill="1" applyBorder="1" applyAlignment="1">
      <x:alignment horizontal="center" wrapText="1"/>
    </x:xf>
    <x:xf numFmtId="0" fontId="10" fillId="3" borderId="52" xfId="0" applyNumberFormat="1" applyFont="1" applyFill="1" applyBorder="1" applyAlignment="1">
      <x:alignment horizontal="center" wrapText="1"/>
    </x:xf>
    <x:xf numFmtId="0" fontId="10" fillId="3" borderId="53" xfId="0" applyNumberFormat="1" applyFont="1" applyFill="1" applyBorder="1" applyAlignment="1">
      <x:alignment horizontal="center" wrapText="1"/>
    </x:xf>
    <x:xf numFmtId="0" fontId="10" fillId="3" borderId="0" xfId="0" applyNumberFormat="1" applyFont="1" applyFill="1" applyBorder="1" applyAlignment="1">
      <x:alignment horizontal="center" wrapText="1"/>
    </x:xf>
    <x:xf numFmtId="0" fontId="10" fillId="3" borderId="54" xfId="0" applyNumberFormat="1" applyFont="1" applyFill="1" applyBorder="1" applyAlignment="1">
      <x:alignment horizontal="center" wrapText="1"/>
    </x:xf>
    <x:xf numFmtId="0" fontId="10" fillId="3" borderId="55" xfId="0" applyNumberFormat="1" applyFont="1" applyFill="1" applyBorder="1" applyAlignment="1">
      <x:alignment horizontal="center" wrapText="1"/>
    </x:xf>
    <x:xf numFmtId="0" fontId="10" fillId="3" borderId="56" xfId="0" applyNumberFormat="1" applyFont="1" applyFill="1" applyBorder="1" applyAlignment="1">
      <x:alignment horizontal="center" wrapText="1"/>
    </x:xf>
    <x:xf numFmtId="0" fontId="10" fillId="3" borderId="57" xfId="0" applyNumberFormat="1" applyFont="1" applyFill="1" applyBorder="1" applyAlignment="1">
      <x:alignment horizontal="center" wrapText="1"/>
    </x:xf>
    <x:xf numFmtId="0" fontId="10" fillId="3" borderId="50" xfId="0" applyNumberFormat="1" applyFont="1" applyFill="1" applyBorder="1" applyAlignment="1">
      <x:alignment horizontal="center" vertical="center" wrapText="1"/>
    </x:xf>
    <x:xf numFmtId="0" fontId="10" fillId="3" borderId="51" xfId="0" applyNumberFormat="1" applyFont="1" applyFill="1" applyBorder="1" applyAlignment="1">
      <x:alignment horizontal="center" vertical="center" wrapText="1"/>
    </x:xf>
    <x:xf numFmtId="0" fontId="10" fillId="3" borderId="52" xfId="0" applyNumberFormat="1" applyFont="1" applyFill="1" applyBorder="1" applyAlignment="1">
      <x:alignment horizontal="center" vertical="center" wrapText="1"/>
    </x:xf>
    <x:xf numFmtId="0" fontId="10" fillId="3" borderId="53" xfId="0" applyNumberFormat="1" applyFont="1" applyFill="1" applyBorder="1" applyAlignment="1">
      <x:alignment horizontal="center" vertical="center" wrapText="1"/>
    </x:xf>
    <x:xf numFmtId="0" fontId="10" fillId="3" borderId="0" xfId="0" applyNumberFormat="1" applyFont="1" applyFill="1" applyBorder="1" applyAlignment="1">
      <x:alignment horizontal="center" vertical="center" wrapText="1"/>
    </x:xf>
    <x:xf numFmtId="0" fontId="10" fillId="3" borderId="54" xfId="0" applyNumberFormat="1" applyFont="1" applyFill="1" applyBorder="1" applyAlignment="1">
      <x:alignment horizontal="center" vertical="center" wrapText="1"/>
    </x:xf>
    <x:xf numFmtId="0" fontId="10" fillId="3" borderId="55" xfId="0" applyNumberFormat="1" applyFont="1" applyFill="1" applyBorder="1" applyAlignment="1">
      <x:alignment horizontal="center" vertical="center" wrapText="1"/>
    </x:xf>
    <x:xf numFmtId="0" fontId="10" fillId="3" borderId="56" xfId="0" applyNumberFormat="1" applyFont="1" applyFill="1" applyBorder="1" applyAlignment="1">
      <x:alignment horizontal="center" vertical="center" wrapText="1"/>
    </x:xf>
    <x:xf numFmtId="0" fontId="10" fillId="3" borderId="57" xfId="0" applyNumberFormat="1" applyFont="1" applyFill="1" applyBorder="1" applyAlignment="1">
      <x:alignment horizontal="center" vertical="center" wrapText="1"/>
    </x:xf>
    <x:xf numFmtId="0" fontId="10" fillId="3" borderId="1" xfId="0" applyNumberFormat="1" applyFont="1" applyFill="1" applyBorder="1"/>
    <x:xf numFmtId="0" fontId="10" fillId="3" borderId="58" xfId="0" applyNumberFormat="1" applyFont="1" applyFill="1" applyBorder="1"/>
    <x:xf numFmtId="0" fontId="10" fillId="3" borderId="59" xfId="0" applyNumberFormat="1" applyFont="1" applyFill="1" applyBorder="1"/>
    <x:xf numFmtId="0" fontId="10" fillId="3" borderId="60" xfId="0" applyNumberFormat="1" applyFont="1" applyFill="1" applyBorder="1"/>
    <x:xf numFmtId="0" fontId="10" fillId="3" borderId="61" xfId="0" applyNumberFormat="1" applyFont="1" applyFill="1" applyBorder="1"/>
    <x:xf numFmtId="0" fontId="10" fillId="3" borderId="62" xfId="0" applyNumberFormat="1" applyFont="1" applyFill="1" applyBorder="1"/>
    <x:xf numFmtId="0" fontId="10" fillId="3" borderId="63" xfId="0" applyNumberFormat="1" applyFont="1" applyFill="1" applyBorder="1"/>
    <x:xf numFmtId="0" fontId="10" fillId="3" borderId="64" xfId="0" applyNumberFormat="1" applyFont="1" applyFill="1" applyBorder="1"/>
    <x:xf numFmtId="0" fontId="10" fillId="3" borderId="65" xfId="0" applyNumberFormat="1" applyFont="1" applyFill="1" applyBorder="1"/>
    <x:xf numFmtId="0" fontId="10" fillId="3" borderId="58" xfId="0" applyNumberFormat="1" applyFont="1" applyFill="1" applyBorder="1" applyAlignment="1">
      <x:alignment wrapText="1"/>
    </x:xf>
    <x:xf numFmtId="0" fontId="10" fillId="3" borderId="59" xfId="0" applyNumberFormat="1" applyFont="1" applyFill="1" applyBorder="1" applyAlignment="1">
      <x:alignment wrapText="1"/>
    </x:xf>
    <x:xf numFmtId="0" fontId="10" fillId="3" borderId="60" xfId="0" applyNumberFormat="1" applyFont="1" applyFill="1" applyBorder="1" applyAlignment="1">
      <x:alignment wrapText="1"/>
    </x:xf>
    <x:xf numFmtId="0" fontId="10" fillId="3" borderId="61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wrapText="1"/>
    </x:xf>
    <x:xf numFmtId="0" fontId="10" fillId="3" borderId="62" xfId="0" applyNumberFormat="1" applyFont="1" applyFill="1" applyBorder="1" applyAlignment="1">
      <x:alignment wrapText="1"/>
    </x:xf>
    <x:xf numFmtId="0" fontId="10" fillId="3" borderId="63" xfId="0" applyNumberFormat="1" applyFont="1" applyFill="1" applyBorder="1" applyAlignment="1">
      <x:alignment wrapText="1"/>
    </x:xf>
    <x:xf numFmtId="0" fontId="10" fillId="3" borderId="64" xfId="0" applyNumberFormat="1" applyFont="1" applyFill="1" applyBorder="1" applyAlignment="1">
      <x:alignment wrapText="1"/>
    </x:xf>
    <x:xf numFmtId="0" fontId="10" fillId="3" borderId="65" xfId="0" applyNumberFormat="1" applyFont="1" applyFill="1" applyBorder="1" applyAlignment="1">
      <x:alignment wrapText="1"/>
    </x:xf>
    <x:xf numFmtId="0" fontId="10" fillId="3" borderId="58" xfId="0" applyNumberFormat="1" applyFont="1" applyFill="1" applyBorder="1" applyAlignment="1">
      <x:alignment horizontal="center" wrapText="1"/>
    </x:xf>
    <x:xf numFmtId="0" fontId="10" fillId="3" borderId="59" xfId="0" applyNumberFormat="1" applyFont="1" applyFill="1" applyBorder="1" applyAlignment="1">
      <x:alignment horizontal="center" wrapText="1"/>
    </x:xf>
    <x:xf numFmtId="0" fontId="10" fillId="3" borderId="60" xfId="0" applyNumberFormat="1" applyFont="1" applyFill="1" applyBorder="1" applyAlignment="1">
      <x:alignment horizontal="center" wrapText="1"/>
    </x:xf>
    <x:xf numFmtId="0" fontId="10" fillId="3" borderId="61" xfId="0" applyNumberFormat="1" applyFont="1" applyFill="1" applyBorder="1" applyAlignment="1">
      <x:alignment horizontal="center" wrapText="1"/>
    </x:xf>
    <x:xf numFmtId="0" fontId="10" fillId="3" borderId="1" xfId="0" applyNumberFormat="1" applyFont="1" applyFill="1" applyBorder="1" applyAlignment="1">
      <x:alignment horizontal="center" wrapText="1"/>
    </x:xf>
    <x:xf numFmtId="0" fontId="10" fillId="3" borderId="62" xfId="0" applyNumberFormat="1" applyFont="1" applyFill="1" applyBorder="1" applyAlignment="1">
      <x:alignment horizontal="center" wrapText="1"/>
    </x:xf>
    <x:xf numFmtId="0" fontId="10" fillId="3" borderId="63" xfId="0" applyNumberFormat="1" applyFont="1" applyFill="1" applyBorder="1" applyAlignment="1">
      <x:alignment horizontal="center" wrapText="1"/>
    </x:xf>
    <x:xf numFmtId="0" fontId="10" fillId="3" borderId="64" xfId="0" applyNumberFormat="1" applyFont="1" applyFill="1" applyBorder="1" applyAlignment="1">
      <x:alignment horizontal="center" wrapText="1"/>
    </x:xf>
    <x:xf numFmtId="0" fontId="10" fillId="3" borderId="65" xfId="0" applyNumberFormat="1" applyFont="1" applyFill="1" applyBorder="1" applyAlignment="1">
      <x:alignment horizontal="center" wrapText="1"/>
    </x:xf>
    <x:xf numFmtId="0" fontId="10" fillId="3" borderId="58" xfId="0" applyNumberFormat="1" applyFont="1" applyFill="1" applyBorder="1" applyAlignment="1">
      <x:alignment horizontal="center" vertical="center" wrapText="1"/>
    </x:xf>
    <x:xf numFmtId="0" fontId="10" fillId="3" borderId="59" xfId="0" applyNumberFormat="1" applyFont="1" applyFill="1" applyBorder="1" applyAlignment="1">
      <x:alignment horizontal="center" vertical="center" wrapText="1"/>
    </x:xf>
    <x:xf numFmtId="0" fontId="10" fillId="3" borderId="60" xfId="0" applyNumberFormat="1" applyFont="1" applyFill="1" applyBorder="1" applyAlignment="1">
      <x:alignment horizontal="center" vertical="center" wrapText="1"/>
    </x:xf>
    <x:xf numFmtId="0" fontId="10" fillId="3" borderId="61" xfId="0" applyNumberFormat="1" applyFont="1" applyFill="1" applyBorder="1" applyAlignment="1">
      <x:alignment horizontal="center" vertical="center" wrapText="1"/>
    </x:xf>
    <x:xf numFmtId="0" fontId="10" fillId="3" borderId="1" xfId="0" applyNumberFormat="1" applyFont="1" applyFill="1" applyBorder="1" applyAlignment="1">
      <x:alignment horizontal="center" vertical="center" wrapText="1"/>
    </x:xf>
    <x:xf numFmtId="0" fontId="10" fillId="3" borderId="62" xfId="0" applyNumberFormat="1" applyFont="1" applyFill="1" applyBorder="1" applyAlignment="1">
      <x:alignment horizontal="center" vertical="center" wrapText="1"/>
    </x:xf>
    <x:xf numFmtId="0" fontId="10" fillId="3" borderId="63" xfId="0" applyNumberFormat="1" applyFont="1" applyFill="1" applyBorder="1" applyAlignment="1">
      <x:alignment horizontal="center" vertical="center" wrapText="1"/>
    </x:xf>
    <x:xf numFmtId="0" fontId="10" fillId="3" borderId="64" xfId="0" applyNumberFormat="1" applyFont="1" applyFill="1" applyBorder="1" applyAlignment="1">
      <x:alignment horizontal="center" vertical="center" wrapText="1"/>
    </x:xf>
    <x:xf numFmtId="0" fontId="10" fillId="3" borderId="65" xfId="0" applyNumberFormat="1" applyFont="1" applyFill="1" applyBorder="1" applyAlignment="1">
      <x:alignment horizontal="center" vertical="center" wrapText="1"/>
    </x:xf>
    <x:xf numFmtId="0" fontId="10" fillId="8" borderId="50" xfId="0" applyNumberFormat="1" applyFont="1" applyFill="1" applyBorder="1"/>
    <x:xf numFmtId="0" fontId="10" fillId="8" borderId="51" xfId="0" applyNumberFormat="1" applyFont="1" applyFill="1" applyBorder="1"/>
    <x:xf numFmtId="0" fontId="10" fillId="8" borderId="52" xfId="0" applyNumberFormat="1" applyFont="1" applyFill="1" applyBorder="1"/>
    <x:xf numFmtId="0" fontId="10" fillId="8" borderId="53" xfId="0" applyNumberFormat="1" applyFont="1" applyFill="1" applyBorder="1"/>
    <x:xf numFmtId="0" fontId="10" fillId="8" borderId="54" xfId="0" applyNumberFormat="1" applyFont="1" applyFill="1" applyBorder="1"/>
    <x:xf numFmtId="0" fontId="10" fillId="8" borderId="55" xfId="0" applyNumberFormat="1" applyFont="1" applyFill="1" applyBorder="1"/>
    <x:xf numFmtId="0" fontId="10" fillId="8" borderId="56" xfId="0" applyNumberFormat="1" applyFont="1" applyFill="1" applyBorder="1"/>
    <x:xf numFmtId="0" fontId="10" fillId="8" borderId="57" xfId="0" applyNumberFormat="1" applyFont="1" applyFill="1" applyBorder="1"/>
    <x:xf numFmtId="0" fontId="10" fillId="8" borderId="50" xfId="0" applyNumberFormat="1" applyFont="1" applyFill="1" applyBorder="1" applyAlignment="1">
      <x:alignment wrapText="1"/>
    </x:xf>
    <x:xf numFmtId="0" fontId="10" fillId="8" borderId="51" xfId="0" applyNumberFormat="1" applyFont="1" applyFill="1" applyBorder="1" applyAlignment="1">
      <x:alignment wrapText="1"/>
    </x:xf>
    <x:xf numFmtId="0" fontId="10" fillId="8" borderId="52" xfId="0" applyNumberFormat="1" applyFont="1" applyFill="1" applyBorder="1" applyAlignment="1">
      <x:alignment wrapText="1"/>
    </x:xf>
    <x:xf numFmtId="0" fontId="10" fillId="8" borderId="53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wrapText="1"/>
    </x:xf>
    <x:xf numFmtId="0" fontId="10" fillId="8" borderId="54" xfId="0" applyNumberFormat="1" applyFont="1" applyFill="1" applyBorder="1" applyAlignment="1">
      <x:alignment wrapText="1"/>
    </x:xf>
    <x:xf numFmtId="0" fontId="10" fillId="8" borderId="55" xfId="0" applyNumberFormat="1" applyFont="1" applyFill="1" applyBorder="1" applyAlignment="1">
      <x:alignment wrapText="1"/>
    </x:xf>
    <x:xf numFmtId="0" fontId="10" fillId="8" borderId="56" xfId="0" applyNumberFormat="1" applyFont="1" applyFill="1" applyBorder="1" applyAlignment="1">
      <x:alignment wrapText="1"/>
    </x:xf>
    <x:xf numFmtId="0" fontId="10" fillId="8" borderId="57" xfId="0" applyNumberFormat="1" applyFont="1" applyFill="1" applyBorder="1" applyAlignment="1">
      <x:alignment wrapText="1"/>
    </x:xf>
    <x:xf numFmtId="0" fontId="10" fillId="8" borderId="50" xfId="0" applyNumberFormat="1" applyFont="1" applyFill="1" applyBorder="1" applyAlignment="1">
      <x:alignment horizontal="center" wrapText="1"/>
    </x:xf>
    <x:xf numFmtId="0" fontId="10" fillId="8" borderId="51" xfId="0" applyNumberFormat="1" applyFont="1" applyFill="1" applyBorder="1" applyAlignment="1">
      <x:alignment horizontal="center" wrapText="1"/>
    </x:xf>
    <x:xf numFmtId="0" fontId="10" fillId="8" borderId="52" xfId="0" applyNumberFormat="1" applyFont="1" applyFill="1" applyBorder="1" applyAlignment="1">
      <x:alignment horizontal="center" wrapText="1"/>
    </x:xf>
    <x:xf numFmtId="0" fontId="10" fillId="8" borderId="53" xfId="0" applyNumberFormat="1" applyFont="1" applyFill="1" applyBorder="1" applyAlignment="1">
      <x:alignment horizontal="center" wrapText="1"/>
    </x:xf>
    <x:xf numFmtId="0" fontId="10" fillId="8" borderId="0" xfId="0" applyNumberFormat="1" applyFont="1" applyFill="1" applyBorder="1" applyAlignment="1">
      <x:alignment horizontal="center" wrapText="1"/>
    </x:xf>
    <x:xf numFmtId="0" fontId="10" fillId="8" borderId="54" xfId="0" applyNumberFormat="1" applyFont="1" applyFill="1" applyBorder="1" applyAlignment="1">
      <x:alignment horizontal="center" wrapText="1"/>
    </x:xf>
    <x:xf numFmtId="0" fontId="10" fillId="8" borderId="55" xfId="0" applyNumberFormat="1" applyFont="1" applyFill="1" applyBorder="1" applyAlignment="1">
      <x:alignment horizontal="center" wrapText="1"/>
    </x:xf>
    <x:xf numFmtId="0" fontId="10" fillId="8" borderId="56" xfId="0" applyNumberFormat="1" applyFont="1" applyFill="1" applyBorder="1" applyAlignment="1">
      <x:alignment horizontal="center" wrapText="1"/>
    </x:xf>
    <x:xf numFmtId="0" fontId="10" fillId="8" borderId="57" xfId="0" applyNumberFormat="1" applyFont="1" applyFill="1" applyBorder="1" applyAlignment="1">
      <x:alignment horizontal="center" wrapText="1"/>
    </x:xf>
    <x:xf numFmtId="0" fontId="10" fillId="8" borderId="50" xfId="0" applyNumberFormat="1" applyFont="1" applyFill="1" applyBorder="1" applyAlignment="1">
      <x:alignment horizontal="center" vertical="center" wrapText="1"/>
    </x:xf>
    <x:xf numFmtId="0" fontId="10" fillId="8" borderId="51" xfId="0" applyNumberFormat="1" applyFont="1" applyFill="1" applyBorder="1" applyAlignment="1">
      <x:alignment horizontal="center" vertical="center" wrapText="1"/>
    </x:xf>
    <x:xf numFmtId="0" fontId="10" fillId="8" borderId="52" xfId="0" applyNumberFormat="1" applyFont="1" applyFill="1" applyBorder="1" applyAlignment="1">
      <x:alignment horizontal="center" vertical="center" wrapText="1"/>
    </x:xf>
    <x:xf numFmtId="0" fontId="10" fillId="8" borderId="53" xfId="0" applyNumberFormat="1" applyFont="1" applyFill="1" applyBorder="1" applyAlignment="1">
      <x:alignment horizontal="center" vertical="center"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10" fillId="8" borderId="54" xfId="0" applyNumberFormat="1" applyFont="1" applyFill="1" applyBorder="1" applyAlignment="1">
      <x:alignment horizontal="center" vertical="center" wrapText="1"/>
    </x:xf>
    <x:xf numFmtId="0" fontId="10" fillId="8" borderId="55" xfId="0" applyNumberFormat="1" applyFont="1" applyFill="1" applyBorder="1" applyAlignment="1">
      <x:alignment horizontal="center" vertical="center" wrapText="1"/>
    </x:xf>
    <x:xf numFmtId="0" fontId="10" fillId="8" borderId="56" xfId="0" applyNumberFormat="1" applyFont="1" applyFill="1" applyBorder="1" applyAlignment="1">
      <x:alignment horizontal="center" vertical="center" wrapText="1"/>
    </x:xf>
    <x:xf numFmtId="0" fontId="10" fillId="8" borderId="57" xfId="0" applyNumberFormat="1" applyFont="1" applyFill="1" applyBorder="1" applyAlignment="1">
      <x:alignment horizontal="center" vertical="center" wrapText="1"/>
    </x:xf>
    <x:xf numFmtId="0" fontId="10" fillId="8" borderId="58" xfId="0" applyNumberFormat="1" applyFont="1" applyFill="1" applyBorder="1"/>
    <x:xf numFmtId="0" fontId="10" fillId="8" borderId="59" xfId="0" applyNumberFormat="1" applyFont="1" applyFill="1" applyBorder="1"/>
    <x:xf numFmtId="0" fontId="10" fillId="8" borderId="60" xfId="0" applyNumberFormat="1" applyFont="1" applyFill="1" applyBorder="1"/>
    <x:xf numFmtId="0" fontId="10" fillId="8" borderId="61" xfId="0" applyNumberFormat="1" applyFont="1" applyFill="1" applyBorder="1"/>
    <x:xf numFmtId="0" fontId="10" fillId="8" borderId="62" xfId="0" applyNumberFormat="1" applyFont="1" applyFill="1" applyBorder="1"/>
    <x:xf numFmtId="0" fontId="10" fillId="8" borderId="63" xfId="0" applyNumberFormat="1" applyFont="1" applyFill="1" applyBorder="1"/>
    <x:xf numFmtId="0" fontId="10" fillId="8" borderId="64" xfId="0" applyNumberFormat="1" applyFont="1" applyFill="1" applyBorder="1"/>
    <x:xf numFmtId="0" fontId="10" fillId="8" borderId="65" xfId="0" applyNumberFormat="1" applyFont="1" applyFill="1" applyBorder="1"/>
    <x:xf numFmtId="0" fontId="10" fillId="8" borderId="58" xfId="0" applyNumberFormat="1" applyFont="1" applyFill="1" applyBorder="1" applyAlignment="1">
      <x:alignment wrapText="1"/>
    </x:xf>
    <x:xf numFmtId="0" fontId="10" fillId="8" borderId="59" xfId="0" applyNumberFormat="1" applyFont="1" applyFill="1" applyBorder="1" applyAlignment="1">
      <x:alignment wrapText="1"/>
    </x:xf>
    <x:xf numFmtId="0" fontId="10" fillId="8" borderId="60" xfId="0" applyNumberFormat="1" applyFont="1" applyFill="1" applyBorder="1" applyAlignment="1">
      <x:alignment wrapText="1"/>
    </x:xf>
    <x:xf numFmtId="0" fontId="10" fillId="8" borderId="61" xfId="0" applyNumberFormat="1" applyFont="1" applyFill="1" applyBorder="1" applyAlignment="1">
      <x:alignment wrapText="1"/>
    </x:xf>
    <x:xf numFmtId="0" fontId="10" fillId="8" borderId="1" xfId="0" applyNumberFormat="1" applyFont="1" applyFill="1" applyBorder="1" applyAlignment="1">
      <x:alignment wrapText="1"/>
    </x:xf>
    <x:xf numFmtId="0" fontId="10" fillId="8" borderId="62" xfId="0" applyNumberFormat="1" applyFont="1" applyFill="1" applyBorder="1" applyAlignment="1">
      <x:alignment wrapText="1"/>
    </x:xf>
    <x:xf numFmtId="0" fontId="10" fillId="8" borderId="63" xfId="0" applyNumberFormat="1" applyFont="1" applyFill="1" applyBorder="1" applyAlignment="1">
      <x:alignment wrapText="1"/>
    </x:xf>
    <x:xf numFmtId="0" fontId="10" fillId="8" borderId="64" xfId="0" applyNumberFormat="1" applyFont="1" applyFill="1" applyBorder="1" applyAlignment="1">
      <x:alignment wrapText="1"/>
    </x:xf>
    <x:xf numFmtId="0" fontId="10" fillId="8" borderId="65" xfId="0" applyNumberFormat="1" applyFont="1" applyFill="1" applyBorder="1" applyAlignment="1">
      <x:alignment wrapText="1"/>
    </x:xf>
    <x:xf numFmtId="0" fontId="10" fillId="8" borderId="58" xfId="0" applyNumberFormat="1" applyFont="1" applyFill="1" applyBorder="1" applyAlignment="1">
      <x:alignment horizontal="center" wrapText="1"/>
    </x:xf>
    <x:xf numFmtId="0" fontId="10" fillId="8" borderId="59" xfId="0" applyNumberFormat="1" applyFont="1" applyFill="1" applyBorder="1" applyAlignment="1">
      <x:alignment horizontal="center" wrapText="1"/>
    </x:xf>
    <x:xf numFmtId="0" fontId="10" fillId="8" borderId="60" xfId="0" applyNumberFormat="1" applyFont="1" applyFill="1" applyBorder="1" applyAlignment="1">
      <x:alignment horizontal="center" wrapText="1"/>
    </x:xf>
    <x:xf numFmtId="0" fontId="10" fillId="8" borderId="61" xfId="0" applyNumberFormat="1" applyFont="1" applyFill="1" applyBorder="1" applyAlignment="1">
      <x:alignment horizontal="center" wrapText="1"/>
    </x:xf>
    <x:xf numFmtId="0" fontId="10" fillId="8" borderId="1" xfId="0" applyNumberFormat="1" applyFont="1" applyFill="1" applyBorder="1" applyAlignment="1">
      <x:alignment horizontal="center" wrapText="1"/>
    </x:xf>
    <x:xf numFmtId="0" fontId="10" fillId="8" borderId="62" xfId="0" applyNumberFormat="1" applyFont="1" applyFill="1" applyBorder="1" applyAlignment="1">
      <x:alignment horizontal="center" wrapText="1"/>
    </x:xf>
    <x:xf numFmtId="0" fontId="10" fillId="8" borderId="63" xfId="0" applyNumberFormat="1" applyFont="1" applyFill="1" applyBorder="1" applyAlignment="1">
      <x:alignment horizontal="center" wrapText="1"/>
    </x:xf>
    <x:xf numFmtId="0" fontId="10" fillId="8" borderId="64" xfId="0" applyNumberFormat="1" applyFont="1" applyFill="1" applyBorder="1" applyAlignment="1">
      <x:alignment horizontal="center" wrapText="1"/>
    </x:xf>
    <x:xf numFmtId="0" fontId="10" fillId="8" borderId="65" xfId="0" applyNumberFormat="1" applyFont="1" applyFill="1" applyBorder="1" applyAlignment="1">
      <x:alignment horizontal="center" wrapText="1"/>
    </x:xf>
    <x:xf numFmtId="0" fontId="10" fillId="8" borderId="58" xfId="0" applyNumberFormat="1" applyFont="1" applyFill="1" applyBorder="1" applyAlignment="1">
      <x:alignment horizontal="center" vertical="center" wrapText="1"/>
    </x:xf>
    <x:xf numFmtId="0" fontId="10" fillId="8" borderId="59" xfId="0" applyNumberFormat="1" applyFont="1" applyFill="1" applyBorder="1" applyAlignment="1">
      <x:alignment horizontal="center" vertical="center" wrapText="1"/>
    </x:xf>
    <x:xf numFmtId="0" fontId="10" fillId="8" borderId="60" xfId="0" applyNumberFormat="1" applyFont="1" applyFill="1" applyBorder="1" applyAlignment="1">
      <x:alignment horizontal="center" vertical="center" wrapText="1"/>
    </x:xf>
    <x:xf numFmtId="0" fontId="10" fillId="8" borderId="61" xfId="0" applyNumberFormat="1" applyFont="1" applyFill="1" applyBorder="1" applyAlignment="1">
      <x:alignment horizontal="center" vertical="center" wrapText="1"/>
    </x:xf>
    <x:xf numFmtId="0" fontId="10" fillId="8" borderId="1" xfId="0" applyNumberFormat="1" applyFont="1" applyFill="1" applyBorder="1" applyAlignment="1">
      <x:alignment horizontal="center" vertical="center" wrapText="1"/>
    </x:xf>
    <x:xf numFmtId="0" fontId="10" fillId="8" borderId="62" xfId="0" applyNumberFormat="1" applyFont="1" applyFill="1" applyBorder="1" applyAlignment="1">
      <x:alignment horizontal="center" vertical="center" wrapText="1"/>
    </x:xf>
    <x:xf numFmtId="0" fontId="10" fillId="8" borderId="63" xfId="0" applyNumberFormat="1" applyFont="1" applyFill="1" applyBorder="1" applyAlignment="1">
      <x:alignment horizontal="center" vertical="center" wrapText="1"/>
    </x:xf>
    <x:xf numFmtId="0" fontId="10" fillId="8" borderId="64" xfId="0" applyNumberFormat="1" applyFont="1" applyFill="1" applyBorder="1" applyAlignment="1">
      <x:alignment horizontal="center" vertical="center" wrapText="1"/>
    </x:xf>
    <x:xf numFmtId="0" fontId="10" fillId="8" borderId="65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/>
    <x:xf numFmtId="0" fontId="10" fillId="9" borderId="50" xfId="0" applyNumberFormat="1" applyFont="1" applyFill="1" applyBorder="1"/>
    <x:xf numFmtId="0" fontId="10" fillId="9" borderId="51" xfId="0" applyNumberFormat="1" applyFont="1" applyFill="1" applyBorder="1"/>
    <x:xf numFmtId="0" fontId="10" fillId="9" borderId="52" xfId="0" applyNumberFormat="1" applyFont="1" applyFill="1" applyBorder="1"/>
    <x:xf numFmtId="0" fontId="10" fillId="9" borderId="53" xfId="0" applyNumberFormat="1" applyFont="1" applyFill="1" applyBorder="1"/>
    <x:xf numFmtId="0" fontId="10" fillId="9" borderId="54" xfId="0" applyNumberFormat="1" applyFont="1" applyFill="1" applyBorder="1"/>
    <x:xf numFmtId="0" fontId="10" fillId="9" borderId="55" xfId="0" applyNumberFormat="1" applyFont="1" applyFill="1" applyBorder="1"/>
    <x:xf numFmtId="0" fontId="10" fillId="9" borderId="56" xfId="0" applyNumberFormat="1" applyFont="1" applyFill="1" applyBorder="1"/>
    <x:xf numFmtId="0" fontId="10" fillId="9" borderId="57" xfId="0" applyNumberFormat="1" applyFont="1" applyFill="1" applyBorder="1"/>
    <x:xf numFmtId="0" fontId="10" fillId="9" borderId="50" xfId="0" applyNumberFormat="1" applyFont="1" applyFill="1" applyBorder="1" applyAlignment="1">
      <x:alignment wrapText="1"/>
    </x:xf>
    <x:xf numFmtId="0" fontId="10" fillId="9" borderId="51" xfId="0" applyNumberFormat="1" applyFont="1" applyFill="1" applyBorder="1" applyAlignment="1">
      <x:alignment wrapText="1"/>
    </x:xf>
    <x:xf numFmtId="0" fontId="10" fillId="9" borderId="52" xfId="0" applyNumberFormat="1" applyFont="1" applyFill="1" applyBorder="1" applyAlignment="1">
      <x:alignment wrapText="1"/>
    </x:xf>
    <x:xf numFmtId="0" fontId="10" fillId="9" borderId="53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wrapText="1"/>
    </x:xf>
    <x:xf numFmtId="0" fontId="10" fillId="9" borderId="54" xfId="0" applyNumberFormat="1" applyFont="1" applyFill="1" applyBorder="1" applyAlignment="1">
      <x:alignment wrapText="1"/>
    </x:xf>
    <x:xf numFmtId="0" fontId="10" fillId="9" borderId="55" xfId="0" applyNumberFormat="1" applyFont="1" applyFill="1" applyBorder="1" applyAlignment="1">
      <x:alignment wrapText="1"/>
    </x:xf>
    <x:xf numFmtId="0" fontId="10" fillId="9" borderId="56" xfId="0" applyNumberFormat="1" applyFont="1" applyFill="1" applyBorder="1" applyAlignment="1">
      <x:alignment wrapText="1"/>
    </x:xf>
    <x:xf numFmtId="0" fontId="10" fillId="9" borderId="57" xfId="0" applyNumberFormat="1" applyFont="1" applyFill="1" applyBorder="1" applyAlignment="1">
      <x:alignment wrapText="1"/>
    </x:xf>
    <x:xf numFmtId="0" fontId="10" fillId="9" borderId="50" xfId="0" applyNumberFormat="1" applyFont="1" applyFill="1" applyBorder="1" applyAlignment="1">
      <x:alignment horizontal="center" wrapText="1"/>
    </x:xf>
    <x:xf numFmtId="0" fontId="10" fillId="9" borderId="51" xfId="0" applyNumberFormat="1" applyFont="1" applyFill="1" applyBorder="1" applyAlignment="1">
      <x:alignment horizontal="center" wrapText="1"/>
    </x:xf>
    <x:xf numFmtId="0" fontId="10" fillId="9" borderId="52" xfId="0" applyNumberFormat="1" applyFont="1" applyFill="1" applyBorder="1" applyAlignment="1">
      <x:alignment horizontal="center" wrapText="1"/>
    </x:xf>
    <x:xf numFmtId="0" fontId="10" fillId="9" borderId="53" xfId="0" applyNumberFormat="1" applyFont="1" applyFill="1" applyBorder="1" applyAlignment="1">
      <x:alignment horizontal="center" wrapText="1"/>
    </x:xf>
    <x:xf numFmtId="0" fontId="10" fillId="9" borderId="0" xfId="0" applyNumberFormat="1" applyFont="1" applyFill="1" applyBorder="1" applyAlignment="1">
      <x:alignment horizontal="center" wrapText="1"/>
    </x:xf>
    <x:xf numFmtId="0" fontId="10" fillId="9" borderId="54" xfId="0" applyNumberFormat="1" applyFont="1" applyFill="1" applyBorder="1" applyAlignment="1">
      <x:alignment horizontal="center" wrapText="1"/>
    </x:xf>
    <x:xf numFmtId="0" fontId="10" fillId="9" borderId="55" xfId="0" applyNumberFormat="1" applyFont="1" applyFill="1" applyBorder="1" applyAlignment="1">
      <x:alignment horizontal="center" wrapText="1"/>
    </x:xf>
    <x:xf numFmtId="0" fontId="10" fillId="9" borderId="56" xfId="0" applyNumberFormat="1" applyFont="1" applyFill="1" applyBorder="1" applyAlignment="1">
      <x:alignment horizontal="center" wrapText="1"/>
    </x:xf>
    <x:xf numFmtId="0" fontId="10" fillId="9" borderId="57" xfId="0" applyNumberFormat="1" applyFont="1" applyFill="1" applyBorder="1" applyAlignment="1">
      <x:alignment horizontal="center" wrapText="1"/>
    </x:xf>
    <x:xf numFmtId="0" fontId="10" fillId="9" borderId="50" xfId="0" applyNumberFormat="1" applyFont="1" applyFill="1" applyBorder="1" applyAlignment="1">
      <x:alignment horizontal="center" vertical="center" wrapText="1"/>
    </x:xf>
    <x:xf numFmtId="0" fontId="10" fillId="9" borderId="51" xfId="0" applyNumberFormat="1" applyFont="1" applyFill="1" applyBorder="1" applyAlignment="1">
      <x:alignment horizontal="center" vertical="center" wrapText="1"/>
    </x:xf>
    <x:xf numFmtId="0" fontId="10" fillId="9" borderId="52" xfId="0" applyNumberFormat="1" applyFont="1" applyFill="1" applyBorder="1" applyAlignment="1">
      <x:alignment horizontal="center" vertical="center" wrapText="1"/>
    </x:xf>
    <x:xf numFmtId="0" fontId="10" fillId="9" borderId="53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10" fillId="9" borderId="54" xfId="0" applyNumberFormat="1" applyFont="1" applyFill="1" applyBorder="1" applyAlignment="1">
      <x:alignment horizontal="center" vertical="center" wrapText="1"/>
    </x:xf>
    <x:xf numFmtId="0" fontId="10" fillId="9" borderId="55" xfId="0" applyNumberFormat="1" applyFont="1" applyFill="1" applyBorder="1" applyAlignment="1">
      <x:alignment horizontal="center" vertical="center" wrapText="1"/>
    </x:xf>
    <x:xf numFmtId="0" fontId="10" fillId="9" borderId="56" xfId="0" applyNumberFormat="1" applyFont="1" applyFill="1" applyBorder="1" applyAlignment="1">
      <x:alignment horizontal="center" vertical="center" wrapText="1"/>
    </x:xf>
    <x:xf numFmtId="0" fontId="10" fillId="9" borderId="57" xfId="0" applyNumberFormat="1" applyFont="1" applyFill="1" applyBorder="1" applyAlignment="1">
      <x:alignment horizontal="center" vertical="center" wrapText="1"/>
    </x:xf>
    <x:xf numFmtId="0" fontId="10" fillId="9" borderId="1" xfId="0" applyNumberFormat="1" applyFont="1" applyFill="1" applyBorder="1"/>
    <x:xf numFmtId="0" fontId="10" fillId="9" borderId="58" xfId="0" applyNumberFormat="1" applyFont="1" applyFill="1" applyBorder="1"/>
    <x:xf numFmtId="0" fontId="10" fillId="9" borderId="59" xfId="0" applyNumberFormat="1" applyFont="1" applyFill="1" applyBorder="1"/>
    <x:xf numFmtId="0" fontId="10" fillId="9" borderId="60" xfId="0" applyNumberFormat="1" applyFont="1" applyFill="1" applyBorder="1"/>
    <x:xf numFmtId="0" fontId="10" fillId="9" borderId="61" xfId="0" applyNumberFormat="1" applyFont="1" applyFill="1" applyBorder="1"/>
    <x:xf numFmtId="0" fontId="10" fillId="9" borderId="62" xfId="0" applyNumberFormat="1" applyFont="1" applyFill="1" applyBorder="1"/>
    <x:xf numFmtId="0" fontId="10" fillId="9" borderId="63" xfId="0" applyNumberFormat="1" applyFont="1" applyFill="1" applyBorder="1"/>
    <x:xf numFmtId="0" fontId="10" fillId="9" borderId="64" xfId="0" applyNumberFormat="1" applyFont="1" applyFill="1" applyBorder="1"/>
    <x:xf numFmtId="0" fontId="10" fillId="9" borderId="65" xfId="0" applyNumberFormat="1" applyFont="1" applyFill="1" applyBorder="1"/>
    <x:xf numFmtId="0" fontId="10" fillId="9" borderId="58" xfId="0" applyNumberFormat="1" applyFont="1" applyFill="1" applyBorder="1" applyAlignment="1">
      <x:alignment wrapText="1"/>
    </x:xf>
    <x:xf numFmtId="0" fontId="10" fillId="9" borderId="59" xfId="0" applyNumberFormat="1" applyFont="1" applyFill="1" applyBorder="1" applyAlignment="1">
      <x:alignment wrapText="1"/>
    </x:xf>
    <x:xf numFmtId="0" fontId="10" fillId="9" borderId="60" xfId="0" applyNumberFormat="1" applyFont="1" applyFill="1" applyBorder="1" applyAlignment="1">
      <x:alignment wrapText="1"/>
    </x:xf>
    <x:xf numFmtId="0" fontId="10" fillId="9" borderId="61" xfId="0" applyNumberFormat="1" applyFont="1" applyFill="1" applyBorder="1" applyAlignment="1">
      <x:alignment wrapText="1"/>
    </x:xf>
    <x:xf numFmtId="0" fontId="10" fillId="9" borderId="1" xfId="0" applyNumberFormat="1" applyFont="1" applyFill="1" applyBorder="1" applyAlignment="1">
      <x:alignment wrapText="1"/>
    </x:xf>
    <x:xf numFmtId="0" fontId="10" fillId="9" borderId="62" xfId="0" applyNumberFormat="1" applyFont="1" applyFill="1" applyBorder="1" applyAlignment="1">
      <x:alignment wrapText="1"/>
    </x:xf>
    <x:xf numFmtId="0" fontId="10" fillId="9" borderId="63" xfId="0" applyNumberFormat="1" applyFont="1" applyFill="1" applyBorder="1" applyAlignment="1">
      <x:alignment wrapText="1"/>
    </x:xf>
    <x:xf numFmtId="0" fontId="10" fillId="9" borderId="64" xfId="0" applyNumberFormat="1" applyFont="1" applyFill="1" applyBorder="1" applyAlignment="1">
      <x:alignment wrapText="1"/>
    </x:xf>
    <x:xf numFmtId="0" fontId="10" fillId="9" borderId="65" xfId="0" applyNumberFormat="1" applyFont="1" applyFill="1" applyBorder="1" applyAlignment="1">
      <x:alignment wrapText="1"/>
    </x:xf>
    <x:xf numFmtId="0" fontId="10" fillId="9" borderId="58" xfId="0" applyNumberFormat="1" applyFont="1" applyFill="1" applyBorder="1" applyAlignment="1">
      <x:alignment horizontal="center" wrapText="1"/>
    </x:xf>
    <x:xf numFmtId="0" fontId="10" fillId="9" borderId="59" xfId="0" applyNumberFormat="1" applyFont="1" applyFill="1" applyBorder="1" applyAlignment="1">
      <x:alignment horizontal="center" wrapText="1"/>
    </x:xf>
    <x:xf numFmtId="0" fontId="10" fillId="9" borderId="60" xfId="0" applyNumberFormat="1" applyFont="1" applyFill="1" applyBorder="1" applyAlignment="1">
      <x:alignment horizontal="center" wrapText="1"/>
    </x:xf>
    <x:xf numFmtId="0" fontId="10" fillId="9" borderId="61" xfId="0" applyNumberFormat="1" applyFont="1" applyFill="1" applyBorder="1" applyAlignment="1">
      <x:alignment horizontal="center" wrapText="1"/>
    </x:xf>
    <x:xf numFmtId="0" fontId="10" fillId="9" borderId="1" xfId="0" applyNumberFormat="1" applyFont="1" applyFill="1" applyBorder="1" applyAlignment="1">
      <x:alignment horizontal="center" wrapText="1"/>
    </x:xf>
    <x:xf numFmtId="0" fontId="10" fillId="9" borderId="62" xfId="0" applyNumberFormat="1" applyFont="1" applyFill="1" applyBorder="1" applyAlignment="1">
      <x:alignment horizontal="center" wrapText="1"/>
    </x:xf>
    <x:xf numFmtId="0" fontId="10" fillId="9" borderId="63" xfId="0" applyNumberFormat="1" applyFont="1" applyFill="1" applyBorder="1" applyAlignment="1">
      <x:alignment horizontal="center" wrapText="1"/>
    </x:xf>
    <x:xf numFmtId="0" fontId="10" fillId="9" borderId="64" xfId="0" applyNumberFormat="1" applyFont="1" applyFill="1" applyBorder="1" applyAlignment="1">
      <x:alignment horizontal="center" wrapText="1"/>
    </x:xf>
    <x:xf numFmtId="0" fontId="10" fillId="9" borderId="65" xfId="0" applyNumberFormat="1" applyFont="1" applyFill="1" applyBorder="1" applyAlignment="1">
      <x:alignment horizontal="center" wrapText="1"/>
    </x:xf>
    <x:xf numFmtId="0" fontId="10" fillId="9" borderId="58" xfId="0" applyNumberFormat="1" applyFont="1" applyFill="1" applyBorder="1" applyAlignment="1">
      <x:alignment horizontal="center" vertical="center" wrapText="1"/>
    </x:xf>
    <x:xf numFmtId="0" fontId="10" fillId="9" borderId="59" xfId="0" applyNumberFormat="1" applyFont="1" applyFill="1" applyBorder="1" applyAlignment="1">
      <x:alignment horizontal="center" vertical="center" wrapText="1"/>
    </x:xf>
    <x:xf numFmtId="0" fontId="10" fillId="9" borderId="60" xfId="0" applyNumberFormat="1" applyFont="1" applyFill="1" applyBorder="1" applyAlignment="1">
      <x:alignment horizontal="center" vertical="center" wrapText="1"/>
    </x:xf>
    <x:xf numFmtId="0" fontId="10" fillId="9" borderId="61" xfId="0" applyNumberFormat="1" applyFont="1" applyFill="1" applyBorder="1" applyAlignment="1">
      <x:alignment horizontal="center" vertical="center" wrapText="1"/>
    </x:xf>
    <x:xf numFmtId="0" fontId="10" fillId="9" borderId="1" xfId="0" applyNumberFormat="1" applyFont="1" applyFill="1" applyBorder="1" applyAlignment="1">
      <x:alignment horizontal="center" vertical="center" wrapText="1"/>
    </x:xf>
    <x:xf numFmtId="0" fontId="10" fillId="9" borderId="62" xfId="0" applyNumberFormat="1" applyFont="1" applyFill="1" applyBorder="1" applyAlignment="1">
      <x:alignment horizontal="center" vertical="center" wrapText="1"/>
    </x:xf>
    <x:xf numFmtId="0" fontId="10" fillId="9" borderId="63" xfId="0" applyNumberFormat="1" applyFont="1" applyFill="1" applyBorder="1" applyAlignment="1">
      <x:alignment horizontal="center" vertical="center" wrapText="1"/>
    </x:xf>
    <x:xf numFmtId="0" fontId="10" fillId="9" borderId="64" xfId="0" applyNumberFormat="1" applyFont="1" applyFill="1" applyBorder="1" applyAlignment="1">
      <x:alignment horizontal="center" vertical="center" wrapText="1"/>
    </x:xf>
    <x:xf numFmtId="0" fontId="10" fillId="9" borderId="65" xfId="0" applyNumberFormat="1" applyFont="1" applyFill="1" applyBorder="1" applyAlignment="1">
      <x:alignment horizontal="center" vertical="center" wrapText="1"/>
    </x:xf>
    <x:xf numFmtId="0" fontId="12" fillId="9" borderId="0" xfId="0" applyNumberFormat="1" applyFont="1" applyFill="1" applyBorder="1"/>
    <x:xf numFmtId="0" fontId="12" fillId="9" borderId="66" xfId="0" applyNumberFormat="1" applyFont="1" applyFill="1" applyBorder="1"/>
    <x:xf numFmtId="0" fontId="12" fillId="9" borderId="67" xfId="0" applyNumberFormat="1" applyFont="1" applyFill="1" applyBorder="1"/>
    <x:xf numFmtId="0" fontId="12" fillId="9" borderId="68" xfId="0" applyNumberFormat="1" applyFont="1" applyFill="1" applyBorder="1"/>
    <x:xf numFmtId="0" fontId="12" fillId="9" borderId="69" xfId="0" applyNumberFormat="1" applyFont="1" applyFill="1" applyBorder="1"/>
    <x:xf numFmtId="0" fontId="12" fillId="9" borderId="70" xfId="0" applyNumberFormat="1" applyFont="1" applyFill="1" applyBorder="1"/>
    <x:xf numFmtId="0" fontId="12" fillId="9" borderId="71" xfId="0" applyNumberFormat="1" applyFont="1" applyFill="1" applyBorder="1"/>
    <x:xf numFmtId="0" fontId="12" fillId="9" borderId="72" xfId="0" applyNumberFormat="1" applyFont="1" applyFill="1" applyBorder="1"/>
    <x:xf numFmtId="0" fontId="12" fillId="9" borderId="73" xfId="0" applyNumberFormat="1" applyFont="1" applyFill="1" applyBorder="1"/>
    <x:xf numFmtId="0" fontId="12" fillId="9" borderId="66" xfId="0" applyNumberFormat="1" applyFont="1" applyFill="1" applyBorder="1" applyAlignment="1">
      <x:alignment wrapText="1"/>
    </x:xf>
    <x:xf numFmtId="0" fontId="12" fillId="9" borderId="67" xfId="0" applyNumberFormat="1" applyFont="1" applyFill="1" applyBorder="1" applyAlignment="1">
      <x:alignment wrapText="1"/>
    </x:xf>
    <x:xf numFmtId="0" fontId="12" fillId="9" borderId="68" xfId="0" applyNumberFormat="1" applyFont="1" applyFill="1" applyBorder="1" applyAlignment="1">
      <x:alignment wrapText="1"/>
    </x:xf>
    <x:xf numFmtId="0" fontId="12" fillId="9" borderId="69" xfId="0" applyNumberFormat="1" applyFont="1" applyFill="1" applyBorder="1" applyAlignment="1">
      <x:alignment wrapText="1"/>
    </x:xf>
    <x:xf numFmtId="0" fontId="12" fillId="9" borderId="0" xfId="0" applyNumberFormat="1" applyFont="1" applyFill="1" applyBorder="1" applyAlignment="1">
      <x:alignment wrapText="1"/>
    </x:xf>
    <x:xf numFmtId="0" fontId="12" fillId="9" borderId="70" xfId="0" applyNumberFormat="1" applyFont="1" applyFill="1" applyBorder="1" applyAlignment="1">
      <x:alignment wrapText="1"/>
    </x:xf>
    <x:xf numFmtId="0" fontId="12" fillId="9" borderId="71" xfId="0" applyNumberFormat="1" applyFont="1" applyFill="1" applyBorder="1" applyAlignment="1">
      <x:alignment wrapText="1"/>
    </x:xf>
    <x:xf numFmtId="0" fontId="12" fillId="9" borderId="72" xfId="0" applyNumberFormat="1" applyFont="1" applyFill="1" applyBorder="1" applyAlignment="1">
      <x:alignment wrapText="1"/>
    </x:xf>
    <x:xf numFmtId="0" fontId="12" fillId="9" borderId="73" xfId="0" applyNumberFormat="1" applyFont="1" applyFill="1" applyBorder="1" applyAlignment="1">
      <x:alignment wrapText="1"/>
    </x:xf>
    <x:xf numFmtId="0" fontId="12" fillId="9" borderId="66" xfId="0" applyNumberFormat="1" applyFont="1" applyFill="1" applyBorder="1" applyAlignment="1">
      <x:alignment horizontal="center" wrapText="1"/>
    </x:xf>
    <x:xf numFmtId="0" fontId="12" fillId="9" borderId="67" xfId="0" applyNumberFormat="1" applyFont="1" applyFill="1" applyBorder="1" applyAlignment="1">
      <x:alignment horizontal="center" wrapText="1"/>
    </x:xf>
    <x:xf numFmtId="0" fontId="12" fillId="9" borderId="68" xfId="0" applyNumberFormat="1" applyFont="1" applyFill="1" applyBorder="1" applyAlignment="1">
      <x:alignment horizontal="center" wrapText="1"/>
    </x:xf>
    <x:xf numFmtId="0" fontId="12" fillId="9" borderId="69" xfId="0" applyNumberFormat="1" applyFont="1" applyFill="1" applyBorder="1" applyAlignment="1">
      <x:alignment horizontal="center" wrapText="1"/>
    </x:xf>
    <x:xf numFmtId="0" fontId="12" fillId="9" borderId="0" xfId="0" applyNumberFormat="1" applyFont="1" applyFill="1" applyBorder="1" applyAlignment="1">
      <x:alignment horizontal="center" wrapText="1"/>
    </x:xf>
    <x:xf numFmtId="0" fontId="12" fillId="9" borderId="70" xfId="0" applyNumberFormat="1" applyFont="1" applyFill="1" applyBorder="1" applyAlignment="1">
      <x:alignment horizontal="center" wrapText="1"/>
    </x:xf>
    <x:xf numFmtId="0" fontId="12" fillId="9" borderId="71" xfId="0" applyNumberFormat="1" applyFont="1" applyFill="1" applyBorder="1" applyAlignment="1">
      <x:alignment horizontal="center" wrapText="1"/>
    </x:xf>
    <x:xf numFmtId="0" fontId="12" fillId="9" borderId="72" xfId="0" applyNumberFormat="1" applyFont="1" applyFill="1" applyBorder="1" applyAlignment="1">
      <x:alignment horizontal="center" wrapText="1"/>
    </x:xf>
    <x:xf numFmtId="0" fontId="12" fillId="9" borderId="73" xfId="0" applyNumberFormat="1" applyFont="1" applyFill="1" applyBorder="1" applyAlignment="1">
      <x:alignment horizontal="center" wrapText="1"/>
    </x:xf>
    <x:xf numFmtId="0" fontId="12" fillId="9" borderId="66" xfId="0" applyNumberFormat="1" applyFont="1" applyFill="1" applyBorder="1" applyAlignment="1">
      <x:alignment horizontal="center" vertical="center" wrapText="1"/>
    </x:xf>
    <x:xf numFmtId="0" fontId="12" fillId="9" borderId="67" xfId="0" applyNumberFormat="1" applyFont="1" applyFill="1" applyBorder="1" applyAlignment="1">
      <x:alignment horizontal="center" vertical="center" wrapText="1"/>
    </x:xf>
    <x:xf numFmtId="0" fontId="12" fillId="9" borderId="68" xfId="0" applyNumberFormat="1" applyFont="1" applyFill="1" applyBorder="1" applyAlignment="1">
      <x:alignment horizontal="center" vertical="center" wrapText="1"/>
    </x:xf>
    <x:xf numFmtId="0" fontId="12" fillId="9" borderId="69" xfId="0" applyNumberFormat="1" applyFont="1" applyFill="1" applyBorder="1" applyAlignment="1">
      <x:alignment horizontal="center" vertical="center" wrapText="1"/>
    </x:xf>
    <x:xf numFmtId="0" fontId="12" fillId="9" borderId="0" xfId="0" applyNumberFormat="1" applyFont="1" applyFill="1" applyBorder="1" applyAlignment="1">
      <x:alignment horizontal="center" vertical="center" wrapText="1"/>
    </x:xf>
    <x:xf numFmtId="0" fontId="12" fillId="9" borderId="70" xfId="0" applyNumberFormat="1" applyFont="1" applyFill="1" applyBorder="1" applyAlignment="1">
      <x:alignment horizontal="center" vertical="center" wrapText="1"/>
    </x:xf>
    <x:xf numFmtId="0" fontId="12" fillId="9" borderId="71" xfId="0" applyNumberFormat="1" applyFont="1" applyFill="1" applyBorder="1" applyAlignment="1">
      <x:alignment horizontal="center" vertical="center" wrapText="1"/>
    </x:xf>
    <x:xf numFmtId="0" fontId="12" fillId="9" borderId="72" xfId="0" applyNumberFormat="1" applyFont="1" applyFill="1" applyBorder="1" applyAlignment="1">
      <x:alignment horizontal="center" vertical="center" wrapText="1"/>
    </x:xf>
    <x:xf numFmtId="0" fontId="12" fillId="9" borderId="73" xfId="0" applyNumberFormat="1" applyFont="1" applyFill="1" applyBorder="1" applyAlignment="1">
      <x:alignment horizontal="center" vertical="center" wrapText="1"/>
    </x:xf>
    <x:xf numFmtId="0" fontId="12" fillId="9" borderId="1" xfId="0" applyNumberFormat="1" applyFont="1" applyFill="1" applyBorder="1"/>
    <x:xf numFmtId="0" fontId="12" fillId="9" borderId="74" xfId="0" applyNumberFormat="1" applyFont="1" applyFill="1" applyBorder="1"/>
    <x:xf numFmtId="0" fontId="12" fillId="9" borderId="75" xfId="0" applyNumberFormat="1" applyFont="1" applyFill="1" applyBorder="1"/>
    <x:xf numFmtId="0" fontId="12" fillId="9" borderId="76" xfId="0" applyNumberFormat="1" applyFont="1" applyFill="1" applyBorder="1"/>
    <x:xf numFmtId="0" fontId="12" fillId="9" borderId="77" xfId="0" applyNumberFormat="1" applyFont="1" applyFill="1" applyBorder="1"/>
    <x:xf numFmtId="0" fontId="12" fillId="9" borderId="78" xfId="0" applyNumberFormat="1" applyFont="1" applyFill="1" applyBorder="1"/>
    <x:xf numFmtId="0" fontId="12" fillId="9" borderId="79" xfId="0" applyNumberFormat="1" applyFont="1" applyFill="1" applyBorder="1"/>
    <x:xf numFmtId="0" fontId="12" fillId="9" borderId="80" xfId="0" applyNumberFormat="1" applyFont="1" applyFill="1" applyBorder="1"/>
    <x:xf numFmtId="0" fontId="12" fillId="9" borderId="81" xfId="0" applyNumberFormat="1" applyFont="1" applyFill="1" applyBorder="1"/>
    <x:xf numFmtId="0" fontId="12" fillId="9" borderId="74" xfId="0" applyNumberFormat="1" applyFont="1" applyFill="1" applyBorder="1" applyAlignment="1">
      <x:alignment wrapText="1"/>
    </x:xf>
    <x:xf numFmtId="0" fontId="12" fillId="9" borderId="75" xfId="0" applyNumberFormat="1" applyFont="1" applyFill="1" applyBorder="1" applyAlignment="1">
      <x:alignment wrapText="1"/>
    </x:xf>
    <x:xf numFmtId="0" fontId="12" fillId="9" borderId="76" xfId="0" applyNumberFormat="1" applyFont="1" applyFill="1" applyBorder="1" applyAlignment="1">
      <x:alignment wrapText="1"/>
    </x:xf>
    <x:xf numFmtId="0" fontId="12" fillId="9" borderId="77" xfId="0" applyNumberFormat="1" applyFont="1" applyFill="1" applyBorder="1" applyAlignment="1">
      <x:alignment wrapText="1"/>
    </x:xf>
    <x:xf numFmtId="0" fontId="12" fillId="9" borderId="1" xfId="0" applyNumberFormat="1" applyFont="1" applyFill="1" applyBorder="1" applyAlignment="1">
      <x:alignment wrapText="1"/>
    </x:xf>
    <x:xf numFmtId="0" fontId="12" fillId="9" borderId="78" xfId="0" applyNumberFormat="1" applyFont="1" applyFill="1" applyBorder="1" applyAlignment="1">
      <x:alignment wrapText="1"/>
    </x:xf>
    <x:xf numFmtId="0" fontId="12" fillId="9" borderId="79" xfId="0" applyNumberFormat="1" applyFont="1" applyFill="1" applyBorder="1" applyAlignment="1">
      <x:alignment wrapText="1"/>
    </x:xf>
    <x:xf numFmtId="0" fontId="12" fillId="9" borderId="80" xfId="0" applyNumberFormat="1" applyFont="1" applyFill="1" applyBorder="1" applyAlignment="1">
      <x:alignment wrapText="1"/>
    </x:xf>
    <x:xf numFmtId="0" fontId="12" fillId="9" borderId="81" xfId="0" applyNumberFormat="1" applyFont="1" applyFill="1" applyBorder="1" applyAlignment="1">
      <x:alignment wrapText="1"/>
    </x:xf>
    <x:xf numFmtId="0" fontId="12" fillId="9" borderId="74" xfId="0" applyNumberFormat="1" applyFont="1" applyFill="1" applyBorder="1" applyAlignment="1">
      <x:alignment horizontal="center" wrapText="1"/>
    </x:xf>
    <x:xf numFmtId="0" fontId="12" fillId="9" borderId="75" xfId="0" applyNumberFormat="1" applyFont="1" applyFill="1" applyBorder="1" applyAlignment="1">
      <x:alignment horizontal="center" wrapText="1"/>
    </x:xf>
    <x:xf numFmtId="0" fontId="12" fillId="9" borderId="76" xfId="0" applyNumberFormat="1" applyFont="1" applyFill="1" applyBorder="1" applyAlignment="1">
      <x:alignment horizontal="center" wrapText="1"/>
    </x:xf>
    <x:xf numFmtId="0" fontId="12" fillId="9" borderId="77" xfId="0" applyNumberFormat="1" applyFont="1" applyFill="1" applyBorder="1" applyAlignment="1">
      <x:alignment horizontal="center" wrapText="1"/>
    </x:xf>
    <x:xf numFmtId="0" fontId="12" fillId="9" borderId="1" xfId="0" applyNumberFormat="1" applyFont="1" applyFill="1" applyBorder="1" applyAlignment="1">
      <x:alignment horizontal="center" wrapText="1"/>
    </x:xf>
    <x:xf numFmtId="0" fontId="12" fillId="9" borderId="78" xfId="0" applyNumberFormat="1" applyFont="1" applyFill="1" applyBorder="1" applyAlignment="1">
      <x:alignment horizontal="center" wrapText="1"/>
    </x:xf>
    <x:xf numFmtId="0" fontId="12" fillId="9" borderId="79" xfId="0" applyNumberFormat="1" applyFont="1" applyFill="1" applyBorder="1" applyAlignment="1">
      <x:alignment horizontal="center" wrapText="1"/>
    </x:xf>
    <x:xf numFmtId="0" fontId="12" fillId="9" borderId="80" xfId="0" applyNumberFormat="1" applyFont="1" applyFill="1" applyBorder="1" applyAlignment="1">
      <x:alignment horizontal="center" wrapText="1"/>
    </x:xf>
    <x:xf numFmtId="0" fontId="12" fillId="9" borderId="81" xfId="0" applyNumberFormat="1" applyFont="1" applyFill="1" applyBorder="1" applyAlignment="1">
      <x:alignment horizontal="center" wrapText="1"/>
    </x:xf>
    <x:xf numFmtId="0" fontId="12" fillId="9" borderId="74" xfId="0" applyNumberFormat="1" applyFont="1" applyFill="1" applyBorder="1" applyAlignment="1">
      <x:alignment horizontal="center" vertical="center" wrapText="1"/>
    </x:xf>
    <x:xf numFmtId="0" fontId="12" fillId="9" borderId="75" xfId="0" applyNumberFormat="1" applyFont="1" applyFill="1" applyBorder="1" applyAlignment="1">
      <x:alignment horizontal="center" vertical="center" wrapText="1"/>
    </x:xf>
    <x:xf numFmtId="0" fontId="12" fillId="9" borderId="76" xfId="0" applyNumberFormat="1" applyFont="1" applyFill="1" applyBorder="1" applyAlignment="1">
      <x:alignment horizontal="center" vertical="center" wrapText="1"/>
    </x:xf>
    <x:xf numFmtId="0" fontId="12" fillId="9" borderId="77" xfId="0" applyNumberFormat="1" applyFont="1" applyFill="1" applyBorder="1" applyAlignment="1">
      <x:alignment horizontal="center" vertical="center" wrapText="1"/>
    </x:xf>
    <x:xf numFmtId="0" fontId="12" fillId="9" borderId="1" xfId="0" applyNumberFormat="1" applyFont="1" applyFill="1" applyBorder="1" applyAlignment="1">
      <x:alignment horizontal="center" vertical="center" wrapText="1"/>
    </x:xf>
    <x:xf numFmtId="0" fontId="12" fillId="9" borderId="78" xfId="0" applyNumberFormat="1" applyFont="1" applyFill="1" applyBorder="1" applyAlignment="1">
      <x:alignment horizontal="center" vertical="center" wrapText="1"/>
    </x:xf>
    <x:xf numFmtId="0" fontId="12" fillId="9" borderId="79" xfId="0" applyNumberFormat="1" applyFont="1" applyFill="1" applyBorder="1" applyAlignment="1">
      <x:alignment horizontal="center" vertical="center" wrapText="1"/>
    </x:xf>
    <x:xf numFmtId="0" fontId="12" fillId="9" borderId="80" xfId="0" applyNumberFormat="1" applyFont="1" applyFill="1" applyBorder="1" applyAlignment="1">
      <x:alignment horizontal="center" vertical="center" wrapText="1"/>
    </x:xf>
    <x:xf numFmtId="0" fontId="12" fillId="9" borderId="81" xfId="0" applyNumberFormat="1" applyFont="1" applyFill="1" applyBorder="1" applyAlignment="1">
      <x:alignment horizontal="center" vertical="center" wrapText="1"/>
    </x:xf>
    <x:xf numFmtId="0" fontId="7" fillId="0" borderId="82" xfId="0" applyNumberFormat="1" applyFont="1" applyFill="1" applyBorder="1"/>
    <x:xf numFmtId="0" fontId="7" fillId="0" borderId="83" xfId="0" applyNumberFormat="1" applyFont="1" applyFill="1" applyBorder="1"/>
    <x:xf numFmtId="0" fontId="7" fillId="0" borderId="84" xfId="0" applyNumberFormat="1" applyFont="1" applyFill="1" applyBorder="1"/>
    <x:xf numFmtId="0" fontId="7" fillId="0" borderId="82" xfId="0" applyNumberFormat="1" applyFont="1" applyFill="1" applyBorder="1" applyAlignment="1">
      <x:alignment wrapText="1"/>
    </x:xf>
    <x:xf numFmtId="0" fontId="7" fillId="0" borderId="83" xfId="0" applyNumberFormat="1" applyFont="1" applyFill="1" applyBorder="1" applyAlignment="1">
      <x:alignment wrapText="1"/>
    </x:xf>
    <x:xf numFmtId="0" fontId="7" fillId="0" borderId="84" xfId="0" applyNumberFormat="1" applyFont="1" applyFill="1" applyBorder="1" applyAlignment="1">
      <x:alignment wrapText="1"/>
    </x:xf>
    <x:xf numFmtId="0" fontId="7" fillId="0" borderId="82" xfId="0" applyNumberFormat="1" applyFont="1" applyFill="1" applyBorder="1" applyAlignment="1">
      <x:alignment vertical="top" wrapText="1"/>
    </x:xf>
    <x:xf numFmtId="0" fontId="7" fillId="0" borderId="83" xfId="0" applyNumberFormat="1" applyFont="1" applyFill="1" applyBorder="1" applyAlignment="1">
      <x:alignment vertical="top" wrapText="1"/>
    </x:xf>
    <x:xf numFmtId="0" fontId="7" fillId="0" borderId="84" xfId="0" applyNumberFormat="1" applyFont="1" applyFill="1" applyBorder="1" applyAlignment="1">
      <x:alignment vertical="top" wrapText="1"/>
    </x:xf>
    <x:xf numFmtId="0" fontId="7" fillId="0" borderId="85" xfId="0" applyNumberFormat="1" applyFont="1" applyFill="1" applyBorder="1"/>
    <x:xf numFmtId="0" fontId="7" fillId="0" borderId="86" xfId="0" applyNumberFormat="1" applyFont="1" applyFill="1" applyBorder="1"/>
    <x:xf numFmtId="0" fontId="7" fillId="0" borderId="87" xfId="0" applyNumberFormat="1" applyFont="1" applyFill="1" applyBorder="1"/>
    <x:xf numFmtId="0" fontId="7" fillId="0" borderId="85" xfId="0" applyNumberFormat="1" applyFont="1" applyFill="1" applyBorder="1" applyAlignment="1">
      <x:alignment wrapText="1"/>
    </x:xf>
    <x:xf numFmtId="0" fontId="7" fillId="0" borderId="86" xfId="0" applyNumberFormat="1" applyFont="1" applyFill="1" applyBorder="1" applyAlignment="1">
      <x:alignment wrapText="1"/>
    </x:xf>
    <x:xf numFmtId="0" fontId="7" fillId="0" borderId="87" xfId="0" applyNumberFormat="1" applyFont="1" applyFill="1" applyBorder="1" applyAlignment="1">
      <x:alignment wrapText="1"/>
    </x:xf>
    <x:xf numFmtId="0" fontId="7" fillId="0" borderId="85" xfId="0" applyNumberFormat="1" applyFont="1" applyFill="1" applyBorder="1" applyAlignment="1">
      <x:alignment vertical="top" wrapText="1"/>
    </x:xf>
    <x:xf numFmtId="0" fontId="7" fillId="0" borderId="86" xfId="0" applyNumberFormat="1" applyFont="1" applyFill="1" applyBorder="1" applyAlignment="1">
      <x:alignment vertical="top" wrapText="1"/>
    </x:xf>
    <x:xf numFmtId="0" fontId="7" fillId="0" borderId="87" xfId="0" applyNumberFormat="1" applyFont="1" applyFill="1" applyBorder="1" applyAlignment="1">
      <x:alignment vertical="top" wrapText="1"/>
    </x:xf>
    <x:xf numFmtId="0" fontId="7" fillId="10" borderId="82" xfId="0" applyNumberFormat="1" applyFont="1" applyFill="1" applyBorder="1" applyAlignment="1">
      <x:alignment vertical="top" wrapText="1"/>
    </x:xf>
    <x:xf numFmtId="0" fontId="13" fillId="10" borderId="82" xfId="0" applyNumberFormat="1" applyFont="1" applyFill="1" applyBorder="1" applyAlignment="1">
      <x:alignment vertical="top" wrapText="1"/>
    </x:xf>
    <x:xf numFmtId="0" fontId="13" fillId="10" borderId="82" xfId="0" applyNumberFormat="1" applyFont="1" applyFill="1" applyBorder="1" applyAlignment="1">
      <x:alignment horizontal="center" vertical="top" wrapText="1"/>
    </x:xf>
    <x:xf numFmtId="0" fontId="13" fillId="10" borderId="82" xfId="0" applyNumberFormat="1" applyFont="1" applyFill="1" applyBorder="1" applyAlignment="1">
      <x:alignment horizontal="center" vertical="center" wrapText="1"/>
    </x:xf>
    <x:xf numFmtId="0" fontId="7" fillId="10" borderId="85" xfId="0" applyNumberFormat="1" applyFont="1" applyFill="1" applyBorder="1" applyAlignment="1">
      <x:alignment vertical="top" wrapText="1"/>
    </x:xf>
    <x:xf numFmtId="0" fontId="13" fillId="10" borderId="85" xfId="0" applyNumberFormat="1" applyFont="1" applyFill="1" applyBorder="1" applyAlignment="1">
      <x:alignment vertical="top" wrapText="1"/>
    </x:xf>
    <x:xf numFmtId="0" fontId="13" fillId="10" borderId="85" xfId="0" applyNumberFormat="1" applyFont="1" applyFill="1" applyBorder="1" applyAlignment="1">
      <x:alignment horizontal="center" vertical="top" wrapText="1"/>
    </x:xf>
    <x:xf numFmtId="0" fontId="13" fillId="10" borderId="85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 applyAlignment="1">
      <x:alignment horizontal="center" vertical="center"/>
    </x:xf>
    <x:xf numFmtId="0" fontId="7" fillId="11" borderId="82" xfId="0" applyNumberFormat="1" applyFont="1" applyFill="1" applyBorder="1" applyAlignment="1">
      <x:alignment vertical="top" wrapText="1"/>
    </x:xf>
    <x:xf numFmtId="0" fontId="13" fillId="11" borderId="82" xfId="0" applyNumberFormat="1" applyFont="1" applyFill="1" applyBorder="1" applyAlignment="1">
      <x:alignment vertical="top" wrapText="1"/>
    </x:xf>
    <x:xf numFmtId="0" fontId="13" fillId="11" borderId="82" xfId="0" applyNumberFormat="1" applyFont="1" applyFill="1" applyBorder="1" applyAlignment="1">
      <x:alignment horizontal="center" vertical="top" wrapText="1"/>
    </x:xf>
    <x:xf numFmtId="0" fontId="13" fillId="11" borderId="82" xfId="0" applyNumberFormat="1" applyFont="1" applyFill="1" applyBorder="1" applyAlignment="1">
      <x:alignment horizontal="center" vertical="center" wrapText="1"/>
    </x:xf>
    <x:xf numFmtId="0" fontId="7" fillId="11" borderId="85" xfId="0" applyNumberFormat="1" applyFont="1" applyFill="1" applyBorder="1" applyAlignment="1">
      <x:alignment vertical="top" wrapText="1"/>
    </x:xf>
    <x:xf numFmtId="0" fontId="13" fillId="11" borderId="85" xfId="0" applyNumberFormat="1" applyFont="1" applyFill="1" applyBorder="1" applyAlignment="1">
      <x:alignment vertical="top" wrapText="1"/>
    </x:xf>
    <x:xf numFmtId="0" fontId="13" fillId="11" borderId="85" xfId="0" applyNumberFormat="1" applyFont="1" applyFill="1" applyBorder="1" applyAlignment="1">
      <x:alignment horizontal="center" vertical="top" wrapText="1"/>
    </x:xf>
    <x:xf numFmtId="0" fontId="13" fillId="11" borderId="85" xfId="0" applyNumberFormat="1" applyFont="1" applyFill="1" applyBorder="1" applyAlignment="1">
      <x:alignment horizontal="center" vertical="center" wrapText="1"/>
    </x:xf>
    <x:xf numFmtId="0" fontId="7" fillId="12" borderId="82" xfId="0" applyNumberFormat="1" applyFont="1" applyFill="1" applyBorder="1" applyAlignment="1">
      <x:alignment vertical="top" wrapText="1"/>
    </x:xf>
    <x:xf numFmtId="0" fontId="13" fillId="12" borderId="82" xfId="0" applyNumberFormat="1" applyFont="1" applyFill="1" applyBorder="1" applyAlignment="1">
      <x:alignment vertical="top" wrapText="1"/>
    </x:xf>
    <x:xf numFmtId="0" fontId="13" fillId="12" borderId="82" xfId="0" applyNumberFormat="1" applyFont="1" applyFill="1" applyBorder="1" applyAlignment="1">
      <x:alignment horizontal="center" vertical="top" wrapText="1"/>
    </x:xf>
    <x:xf numFmtId="0" fontId="13" fillId="12" borderId="82" xfId="0" applyNumberFormat="1" applyFont="1" applyFill="1" applyBorder="1" applyAlignment="1">
      <x:alignment horizontal="center" vertical="center" wrapText="1"/>
    </x:xf>
    <x:xf numFmtId="0" fontId="7" fillId="12" borderId="85" xfId="0" applyNumberFormat="1" applyFont="1" applyFill="1" applyBorder="1" applyAlignment="1">
      <x:alignment vertical="top" wrapText="1"/>
    </x:xf>
    <x:xf numFmtId="0" fontId="13" fillId="12" borderId="85" xfId="0" applyNumberFormat="1" applyFont="1" applyFill="1" applyBorder="1" applyAlignment="1">
      <x:alignment vertical="top" wrapText="1"/>
    </x:xf>
    <x:xf numFmtId="0" fontId="13" fillId="12" borderId="85" xfId="0" applyNumberFormat="1" applyFont="1" applyFill="1" applyBorder="1" applyAlignment="1">
      <x:alignment horizontal="center" vertical="top" wrapText="1"/>
    </x:xf>
    <x:xf numFmtId="0" fontId="13" fillId="12" borderId="85" xfId="0" applyNumberFormat="1" applyFont="1" applyFill="1" applyBorder="1" applyAlignment="1">
      <x:alignment horizontal="center" vertical="center" wrapText="1"/>
    </x:xf>
    <x:xf numFmtId="0" fontId="7" fillId="13" borderId="82" xfId="0" applyNumberFormat="1" applyFont="1" applyFill="1" applyBorder="1" applyAlignment="1">
      <x:alignment vertical="top" wrapText="1"/>
    </x:xf>
    <x:xf numFmtId="0" fontId="13" fillId="13" borderId="82" xfId="0" applyNumberFormat="1" applyFont="1" applyFill="1" applyBorder="1" applyAlignment="1">
      <x:alignment vertical="top" wrapText="1"/>
    </x:xf>
    <x:xf numFmtId="0" fontId="13" fillId="13" borderId="82" xfId="0" applyNumberFormat="1" applyFont="1" applyFill="1" applyBorder="1" applyAlignment="1">
      <x:alignment horizontal="center" vertical="top" wrapText="1"/>
    </x:xf>
    <x:xf numFmtId="0" fontId="13" fillId="13" borderId="82" xfId="0" applyNumberFormat="1" applyFont="1" applyFill="1" applyBorder="1" applyAlignment="1">
      <x:alignment horizontal="center" vertical="center" wrapText="1"/>
    </x:xf>
    <x:xf numFmtId="0" fontId="7" fillId="13" borderId="85" xfId="0" applyNumberFormat="1" applyFont="1" applyFill="1" applyBorder="1" applyAlignment="1">
      <x:alignment vertical="top" wrapText="1"/>
    </x:xf>
    <x:xf numFmtId="0" fontId="13" fillId="13" borderId="85" xfId="0" applyNumberFormat="1" applyFont="1" applyFill="1" applyBorder="1" applyAlignment="1">
      <x:alignment vertical="top" wrapText="1"/>
    </x:xf>
    <x:xf numFmtId="0" fontId="13" fillId="13" borderId="85" xfId="0" applyNumberFormat="1" applyFont="1" applyFill="1" applyBorder="1" applyAlignment="1">
      <x:alignment horizontal="center" vertical="top" wrapText="1"/>
    </x:xf>
    <x:xf numFmtId="0" fontId="13" fillId="13" borderId="85" xfId="0" applyNumberFormat="1" applyFont="1" applyFill="1" applyBorder="1" applyAlignment="1">
      <x:alignment horizontal="center" vertical="center" wrapText="1"/>
    </x:xf>
    <x:xf numFmtId="0" fontId="7" fillId="14" borderId="82" xfId="0" applyNumberFormat="1" applyFont="1" applyFill="1" applyBorder="1" applyAlignment="1">
      <x:alignment vertical="top" wrapText="1"/>
    </x:xf>
    <x:xf numFmtId="0" fontId="13" fillId="14" borderId="82" xfId="0" applyNumberFormat="1" applyFont="1" applyFill="1" applyBorder="1" applyAlignment="1">
      <x:alignment vertical="top" wrapText="1"/>
    </x:xf>
    <x:xf numFmtId="0" fontId="13" fillId="14" borderId="82" xfId="0" applyNumberFormat="1" applyFont="1" applyFill="1" applyBorder="1" applyAlignment="1">
      <x:alignment horizontal="center" vertical="top" wrapText="1"/>
    </x:xf>
    <x:xf numFmtId="0" fontId="13" fillId="14" borderId="82" xfId="0" applyNumberFormat="1" applyFont="1" applyFill="1" applyBorder="1" applyAlignment="1">
      <x:alignment horizontal="center" vertical="center" wrapText="1"/>
    </x:xf>
    <x:xf numFmtId="0" fontId="7" fillId="14" borderId="85" xfId="0" applyNumberFormat="1" applyFont="1" applyFill="1" applyBorder="1" applyAlignment="1">
      <x:alignment vertical="top" wrapText="1"/>
    </x:xf>
    <x:xf numFmtId="0" fontId="13" fillId="14" borderId="85" xfId="0" applyNumberFormat="1" applyFont="1" applyFill="1" applyBorder="1" applyAlignment="1">
      <x:alignment vertical="top" wrapText="1"/>
    </x:xf>
    <x:xf numFmtId="0" fontId="13" fillId="14" borderId="85" xfId="0" applyNumberFormat="1" applyFont="1" applyFill="1" applyBorder="1" applyAlignment="1">
      <x:alignment horizontal="center" vertical="top" wrapText="1"/>
    </x:xf>
    <x:xf numFmtId="0" fontId="13" fillId="14" borderId="85" xfId="0" applyNumberFormat="1" applyFont="1" applyFill="1" applyBorder="1" applyAlignment="1">
      <x:alignment horizontal="center" vertical="center" wrapText="1"/>
    </x:xf>
    <x:xf numFmtId="0" fontId="7" fillId="15" borderId="82" xfId="0" applyNumberFormat="1" applyFont="1" applyFill="1" applyBorder="1" applyAlignment="1">
      <x:alignment vertical="top" wrapText="1"/>
    </x:xf>
    <x:xf numFmtId="0" fontId="13" fillId="15" borderId="82" xfId="0" applyNumberFormat="1" applyFont="1" applyFill="1" applyBorder="1" applyAlignment="1">
      <x:alignment vertical="top" wrapText="1"/>
    </x:xf>
    <x:xf numFmtId="0" fontId="13" fillId="15" borderId="82" xfId="0" applyNumberFormat="1" applyFont="1" applyFill="1" applyBorder="1" applyAlignment="1">
      <x:alignment horizontal="center" vertical="top" wrapText="1"/>
    </x:xf>
    <x:xf numFmtId="0" fontId="13" fillId="15" borderId="82" xfId="0" applyNumberFormat="1" applyFont="1" applyFill="1" applyBorder="1" applyAlignment="1">
      <x:alignment horizontal="center" vertical="center" wrapText="1"/>
    </x:xf>
    <x:xf numFmtId="0" fontId="7" fillId="15" borderId="85" xfId="0" applyNumberFormat="1" applyFont="1" applyFill="1" applyBorder="1" applyAlignment="1">
      <x:alignment vertical="top" wrapText="1"/>
    </x:xf>
    <x:xf numFmtId="0" fontId="13" fillId="15" borderId="85" xfId="0" applyNumberFormat="1" applyFont="1" applyFill="1" applyBorder="1" applyAlignment="1">
      <x:alignment vertical="top" wrapText="1"/>
    </x:xf>
    <x:xf numFmtId="0" fontId="13" fillId="15" borderId="85" xfId="0" applyNumberFormat="1" applyFont="1" applyFill="1" applyBorder="1" applyAlignment="1">
      <x:alignment horizontal="center" vertical="top" wrapText="1"/>
    </x:xf>
    <x:xf numFmtId="0" fontId="13" fillId="15" borderId="85" xfId="0" applyNumberFormat="1" applyFont="1" applyFill="1" applyBorder="1" applyAlignment="1">
      <x:alignment horizontal="center" vertical="center" wrapText="1"/>
    </x:xf>
    <x:xf numFmtId="0" fontId="7" fillId="16" borderId="82" xfId="0" applyNumberFormat="1" applyFont="1" applyFill="1" applyBorder="1" applyAlignment="1">
      <x:alignment vertical="top" wrapText="1"/>
    </x:xf>
    <x:xf numFmtId="0" fontId="13" fillId="16" borderId="82" xfId="0" applyNumberFormat="1" applyFont="1" applyFill="1" applyBorder="1" applyAlignment="1">
      <x:alignment vertical="top" wrapText="1"/>
    </x:xf>
    <x:xf numFmtId="0" fontId="13" fillId="16" borderId="82" xfId="0" applyNumberFormat="1" applyFont="1" applyFill="1" applyBorder="1" applyAlignment="1">
      <x:alignment horizontal="center" vertical="top" wrapText="1"/>
    </x:xf>
    <x:xf numFmtId="0" fontId="13" fillId="16" borderId="82" xfId="0" applyNumberFormat="1" applyFont="1" applyFill="1" applyBorder="1" applyAlignment="1">
      <x:alignment horizontal="center" vertical="center" wrapText="1"/>
    </x:xf>
    <x:xf numFmtId="0" fontId="7" fillId="16" borderId="85" xfId="0" applyNumberFormat="1" applyFont="1" applyFill="1" applyBorder="1" applyAlignment="1">
      <x:alignment vertical="top" wrapText="1"/>
    </x:xf>
    <x:xf numFmtId="0" fontId="13" fillId="16" borderId="85" xfId="0" applyNumberFormat="1" applyFont="1" applyFill="1" applyBorder="1" applyAlignment="1">
      <x:alignment vertical="top" wrapText="1"/>
    </x:xf>
    <x:xf numFmtId="0" fontId="13" fillId="16" borderId="85" xfId="0" applyNumberFormat="1" applyFont="1" applyFill="1" applyBorder="1" applyAlignment="1">
      <x:alignment horizontal="center" vertical="top" wrapText="1"/>
    </x:xf>
    <x:xf numFmtId="0" fontId="13" fillId="16" borderId="85" xfId="0" applyNumberFormat="1" applyFont="1" applyFill="1" applyBorder="1" applyAlignment="1">
      <x:alignment horizontal="center" vertical="center" wrapText="1"/>
    </x:xf>
    <x:xf numFmtId="0" fontId="7" fillId="17" borderId="82" xfId="0" applyNumberFormat="1" applyFont="1" applyFill="1" applyBorder="1" applyAlignment="1">
      <x:alignment vertical="top" wrapText="1"/>
    </x:xf>
    <x:xf numFmtId="0" fontId="13" fillId="17" borderId="82" xfId="0" applyNumberFormat="1" applyFont="1" applyFill="1" applyBorder="1" applyAlignment="1">
      <x:alignment vertical="top" wrapText="1"/>
    </x:xf>
    <x:xf numFmtId="0" fontId="13" fillId="17" borderId="82" xfId="0" applyNumberFormat="1" applyFont="1" applyFill="1" applyBorder="1" applyAlignment="1">
      <x:alignment horizontal="center" vertical="top" wrapText="1"/>
    </x:xf>
    <x:xf numFmtId="0" fontId="13" fillId="17" borderId="82" xfId="0" applyNumberFormat="1" applyFont="1" applyFill="1" applyBorder="1" applyAlignment="1">
      <x:alignment horizontal="center" vertical="center" wrapText="1"/>
    </x:xf>
    <x:xf numFmtId="0" fontId="7" fillId="17" borderId="85" xfId="0" applyNumberFormat="1" applyFont="1" applyFill="1" applyBorder="1" applyAlignment="1">
      <x:alignment vertical="top" wrapText="1"/>
    </x:xf>
    <x:xf numFmtId="0" fontId="13" fillId="17" borderId="85" xfId="0" applyNumberFormat="1" applyFont="1" applyFill="1" applyBorder="1" applyAlignment="1">
      <x:alignment vertical="top" wrapText="1"/>
    </x:xf>
    <x:xf numFmtId="0" fontId="13" fillId="17" borderId="85" xfId="0" applyNumberFormat="1" applyFont="1" applyFill="1" applyBorder="1" applyAlignment="1">
      <x:alignment horizontal="center" vertical="top" wrapText="1"/>
    </x:xf>
    <x:xf numFmtId="0" fontId="13" fillId="17" borderId="85" xfId="0" applyNumberFormat="1" applyFont="1" applyFill="1" applyBorder="1" applyAlignment="1">
      <x:alignment horizontal="center" vertical="center" wrapText="1"/>
    </x:xf>
    <x:xf numFmtId="0" fontId="7" fillId="7" borderId="82" xfId="0" applyNumberFormat="1" applyFont="1" applyFill="1" applyBorder="1" applyAlignment="1">
      <x:alignment vertical="top" wrapText="1"/>
    </x:xf>
    <x:xf numFmtId="0" fontId="14" fillId="7" borderId="82" xfId="0" applyNumberFormat="1" applyFont="1" applyFill="1" applyBorder="1" applyAlignment="1">
      <x:alignment vertical="top" wrapText="1"/>
    </x:xf>
    <x:xf numFmtId="0" fontId="14" fillId="7" borderId="82" xfId="0" applyNumberFormat="1" applyFont="1" applyFill="1" applyBorder="1" applyAlignment="1">
      <x:alignment horizontal="center" vertical="top" wrapText="1"/>
    </x:xf>
    <x:xf numFmtId="0" fontId="7" fillId="7" borderId="85" xfId="0" applyNumberFormat="1" applyFont="1" applyFill="1" applyBorder="1" applyAlignment="1">
      <x:alignment vertical="top" wrapText="1"/>
    </x:xf>
    <x:xf numFmtId="0" fontId="14" fillId="7" borderId="85" xfId="0" applyNumberFormat="1" applyFont="1" applyFill="1" applyBorder="1" applyAlignment="1">
      <x:alignment vertical="top" wrapText="1"/>
    </x:xf>
    <x:xf numFmtId="0" fontId="14" fillId="7" borderId="85" xfId="0" applyNumberFormat="1" applyFont="1" applyFill="1" applyBorder="1" applyAlignment="1">
      <x:alignment horizontal="center" vertical="top" wrapText="1"/>
    </x:xf>
    <x:xf numFmtId="0" fontId="0" fillId="18" borderId="0" xfId="0" applyNumberFormat="1" applyFont="1" applyFill="1" applyBorder="1"/>
    <x:xf numFmtId="0" fontId="15" fillId="18" borderId="0" xfId="0" applyNumberFormat="1" applyFont="1" applyFill="1" applyBorder="1"/>
    <x:xf numFmtId="0" fontId="15" fillId="18" borderId="0" xfId="0" applyNumberFormat="1" applyFont="1" applyFill="1" applyBorder="1" applyAlignment="1">
      <x:alignment horizontal="center"/>
    </x:xf>
    <x:xf numFmtId="0" fontId="0" fillId="18" borderId="1" xfId="0" applyNumberFormat="1" applyFont="1" applyFill="1" applyBorder="1"/>
    <x:xf numFmtId="0" fontId="15" fillId="18" borderId="1" xfId="0" applyNumberFormat="1" applyFont="1" applyFill="1" applyBorder="1"/>
    <x:xf numFmtId="0" fontId="15" fillId="18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7" fillId="10" borderId="0" xfId="0" applyNumberFormat="1" applyFont="1" applyFill="1" applyBorder="1" applyAlignment="1">
      <x:alignment vertical="top" wrapText="1"/>
    </x:xf>
    <x:xf numFmtId="0" fontId="13" fillId="10" borderId="0" xfId="0" applyNumberFormat="1" applyFont="1" applyFill="1" applyBorder="1" applyAlignment="1">
      <x:alignment vertical="top" wrapText="1"/>
    </x:xf>
    <x:xf numFmtId="0" fontId="13" fillId="10" borderId="0" xfId="0" applyNumberFormat="1" applyFont="1" applyFill="1" applyBorder="1" applyAlignment="1">
      <x:alignment horizontal="center" vertical="top" wrapText="1"/>
    </x:xf>
    <x:xf numFmtId="0" fontId="13" fillId="10" borderId="0" xfId="0" applyNumberFormat="1" applyFont="1" applyFill="1" applyBorder="1" applyAlignment="1">
      <x:alignment horizontal="center" vertical="center" wrapText="1"/>
    </x:xf>
    <x:xf numFmtId="0" fontId="7" fillId="11" borderId="0" xfId="0" applyNumberFormat="1" applyFont="1" applyFill="1" applyBorder="1" applyAlignment="1">
      <x:alignment vertical="top" wrapText="1"/>
    </x:xf>
    <x:xf numFmtId="0" fontId="13" fillId="11" borderId="0" xfId="0" applyNumberFormat="1" applyFont="1" applyFill="1" applyBorder="1" applyAlignment="1">
      <x:alignment vertical="top" wrapText="1"/>
    </x:xf>
    <x:xf numFmtId="0" fontId="13" fillId="11" borderId="0" xfId="0" applyNumberFormat="1" applyFont="1" applyFill="1" applyBorder="1" applyAlignment="1">
      <x:alignment horizontal="center" vertical="top" wrapText="1"/>
    </x:xf>
    <x:xf numFmtId="0" fontId="13" fillId="11" borderId="0" xfId="0" applyNumberFormat="1" applyFont="1" applyFill="1" applyBorder="1" applyAlignment="1">
      <x:alignment horizontal="center" vertical="center" wrapText="1"/>
    </x:xf>
    <x:xf numFmtId="0" fontId="7" fillId="12" borderId="0" xfId="0" applyNumberFormat="1" applyFont="1" applyFill="1" applyBorder="1" applyAlignment="1">
      <x:alignment vertical="top" wrapText="1"/>
    </x:xf>
    <x:xf numFmtId="0" fontId="13" fillId="12" borderId="0" xfId="0" applyNumberFormat="1" applyFont="1" applyFill="1" applyBorder="1" applyAlignment="1">
      <x:alignment vertical="top" wrapText="1"/>
    </x:xf>
    <x:xf numFmtId="0" fontId="13" fillId="12" borderId="0" xfId="0" applyNumberFormat="1" applyFont="1" applyFill="1" applyBorder="1" applyAlignment="1">
      <x:alignment horizontal="center" vertical="top" wrapText="1"/>
    </x:xf>
    <x:xf numFmtId="0" fontId="13" fillId="12" borderId="0" xfId="0" applyNumberFormat="1" applyFont="1" applyFill="1" applyBorder="1" applyAlignment="1">
      <x:alignment horizontal="center" vertical="center" wrapText="1"/>
    </x:xf>
    <x:xf numFmtId="0" fontId="7" fillId="13" borderId="0" xfId="0" applyNumberFormat="1" applyFont="1" applyFill="1" applyBorder="1" applyAlignment="1">
      <x:alignment vertical="top" wrapText="1"/>
    </x:xf>
    <x:xf numFmtId="0" fontId="13" fillId="13" borderId="0" xfId="0" applyNumberFormat="1" applyFont="1" applyFill="1" applyBorder="1" applyAlignment="1">
      <x:alignment vertical="top" wrapText="1"/>
    </x:xf>
    <x:xf numFmtId="0" fontId="13" fillId="13" borderId="0" xfId="0" applyNumberFormat="1" applyFont="1" applyFill="1" applyBorder="1" applyAlignment="1">
      <x:alignment horizontal="center" vertical="top" wrapText="1"/>
    </x:xf>
    <x:xf numFmtId="0" fontId="13" fillId="13" borderId="0" xfId="0" applyNumberFormat="1" applyFont="1" applyFill="1" applyBorder="1" applyAlignment="1">
      <x:alignment horizontal="center" vertical="center" wrapText="1"/>
    </x:xf>
    <x:xf numFmtId="0" fontId="7" fillId="14" borderId="0" xfId="0" applyNumberFormat="1" applyFont="1" applyFill="1" applyBorder="1" applyAlignment="1">
      <x:alignment vertical="top" wrapText="1"/>
    </x:xf>
    <x:xf numFmtId="0" fontId="13" fillId="14" borderId="0" xfId="0" applyNumberFormat="1" applyFont="1" applyFill="1" applyBorder="1" applyAlignment="1">
      <x:alignment vertical="top" wrapText="1"/>
    </x:xf>
    <x:xf numFmtId="0" fontId="13" fillId="14" borderId="0" xfId="0" applyNumberFormat="1" applyFont="1" applyFill="1" applyBorder="1" applyAlignment="1">
      <x:alignment horizontal="center" vertical="top" wrapText="1"/>
    </x:xf>
    <x:xf numFmtId="0" fontId="13" fillId="14" borderId="0" xfId="0" applyNumberFormat="1" applyFont="1" applyFill="1" applyBorder="1" applyAlignment="1">
      <x:alignment horizontal="center" vertical="center" wrapText="1"/>
    </x:xf>
    <x:xf numFmtId="0" fontId="7" fillId="15" borderId="0" xfId="0" applyNumberFormat="1" applyFont="1" applyFill="1" applyBorder="1" applyAlignment="1">
      <x:alignment vertical="top" wrapText="1"/>
    </x:xf>
    <x:xf numFmtId="0" fontId="13" fillId="15" borderId="0" xfId="0" applyNumberFormat="1" applyFont="1" applyFill="1" applyBorder="1" applyAlignment="1">
      <x:alignment vertical="top" wrapText="1"/>
    </x:xf>
    <x:xf numFmtId="0" fontId="13" fillId="15" borderId="0" xfId="0" applyNumberFormat="1" applyFont="1" applyFill="1" applyBorder="1" applyAlignment="1">
      <x:alignment horizontal="center" vertical="top" wrapText="1"/>
    </x:xf>
    <x:xf numFmtId="0" fontId="13" fillId="15" borderId="0" xfId="0" applyNumberFormat="1" applyFont="1" applyFill="1" applyBorder="1" applyAlignment="1">
      <x:alignment horizontal="center" vertical="center" wrapText="1"/>
    </x:xf>
    <x:xf numFmtId="0" fontId="7" fillId="16" borderId="0" xfId="0" applyNumberFormat="1" applyFont="1" applyFill="1" applyBorder="1" applyAlignment="1">
      <x:alignment vertical="top" wrapText="1"/>
    </x:xf>
    <x:xf numFmtId="0" fontId="13" fillId="16" borderId="0" xfId="0" applyNumberFormat="1" applyFont="1" applyFill="1" applyBorder="1" applyAlignment="1">
      <x:alignment vertical="top" wrapText="1"/>
    </x:xf>
    <x:xf numFmtId="0" fontId="13" fillId="16" borderId="0" xfId="0" applyNumberFormat="1" applyFont="1" applyFill="1" applyBorder="1" applyAlignment="1">
      <x:alignment horizontal="center" vertical="top" wrapText="1"/>
    </x:xf>
    <x:xf numFmtId="0" fontId="13" fillId="16" borderId="0" xfId="0" applyNumberFormat="1" applyFont="1" applyFill="1" applyBorder="1" applyAlignment="1">
      <x:alignment horizontal="center" vertical="center" wrapText="1"/>
    </x:xf>
    <x:xf numFmtId="0" fontId="7" fillId="17" borderId="0" xfId="0" applyNumberFormat="1" applyFont="1" applyFill="1" applyBorder="1" applyAlignment="1">
      <x:alignment vertical="top" wrapText="1"/>
    </x:xf>
    <x:xf numFmtId="0" fontId="13" fillId="17" borderId="0" xfId="0" applyNumberFormat="1" applyFont="1" applyFill="1" applyBorder="1" applyAlignment="1">
      <x:alignment vertical="top" wrapText="1"/>
    </x:xf>
    <x:xf numFmtId="0" fontId="13" fillId="17" borderId="0" xfId="0" applyNumberFormat="1" applyFont="1" applyFill="1" applyBorder="1" applyAlignment="1">
      <x:alignment horizontal="center" vertical="top" wrapText="1"/>
    </x:xf>
    <x:xf numFmtId="0" fontId="13" fillId="17" borderId="0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vertical="top"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0" xfId="0" applyNumberFormat="1" applyFont="1" applyFill="1" applyBorder="1" applyAlignment="1">
      <x:alignment horizontal="center" vertical="top" wrapText="1"/>
    </x:xf>
    <x:xf numFmtId="0" fontId="9" fillId="7" borderId="88" xfId="0" applyNumberFormat="1" applyFont="1" applyFill="1" applyBorder="1" applyAlignment="1">
      <x:alignment vertical="top" wrapText="1"/>
    </x:xf>
    <x:xf numFmtId="0" fontId="9" fillId="7" borderId="89" xfId="0" applyNumberFormat="1" applyFont="1" applyFill="1" applyBorder="1" applyAlignment="1">
      <x:alignment vertical="top" wrapText="1"/>
    </x:xf>
    <x:xf numFmtId="0" fontId="9" fillId="7" borderId="90" xfId="0" applyNumberFormat="1" applyFont="1" applyFill="1" applyBorder="1" applyAlignment="1">
      <x:alignment vertical="top" wrapText="1"/>
    </x:xf>
    <x:xf numFmtId="0" fontId="9" fillId="7" borderId="91" xfId="0" applyNumberFormat="1" applyFont="1" applyFill="1" applyBorder="1" applyAlignment="1">
      <x:alignment vertical="top" wrapText="1"/>
    </x:xf>
    <x:xf numFmtId="0" fontId="9" fillId="7" xfId="0" applyNumberFormat="1" applyFont="1" applyFill="1" applyBorder="0" applyAlignment="1">
      <x:alignment vertical="top" wrapText="1"/>
    </x:xf>
    <x:xf numFmtId="0" fontId="9" fillId="7" borderId="92" xfId="0" applyNumberFormat="1" applyFont="1" applyFill="1" applyBorder="1" applyAlignment="1">
      <x:alignment vertical="top" wrapText="1"/>
    </x:xf>
    <x:xf numFmtId="0" fontId="9" fillId="7" borderId="93" xfId="0" applyNumberFormat="1" applyFont="1" applyFill="1" applyBorder="1" applyAlignment="1">
      <x:alignment vertical="top" wrapText="1"/>
    </x:xf>
    <x:xf numFmtId="0" fontId="9" fillId="7" borderId="2" xfId="0" applyNumberFormat="1" applyFont="1" applyFill="1" applyBorder="1" applyAlignment="1">
      <x:alignment vertical="top" wrapText="1"/>
    </x:xf>
    <x:xf numFmtId="0" fontId="9" fillId="7" borderId="94" xfId="0" applyNumberFormat="1" applyFont="1" applyFill="1" applyBorder="1" applyAlignment="1">
      <x:alignment vertical="top" wrapText="1"/>
    </x:xf>
    <x:xf numFmtId="0" fontId="0" fillId="0" borderId="95" xfId="0" applyNumberFormat="1" applyFont="1" applyFill="1" applyBorder="1"/>
    <x:xf numFmtId="0" fontId="0" fillId="0" borderId="96" xfId="0" applyNumberFormat="1" applyFont="1" applyFill="1" applyBorder="1"/>
    <x:xf numFmtId="0" fontId="0" fillId="0" borderId="97" xfId="0" applyNumberFormat="1" applyFont="1" applyFill="1" applyBorder="1"/>
    <x:xf numFmtId="0" fontId="0" fillId="0" borderId="95" xfId="0" applyNumberFormat="1" applyFont="1" applyFill="1" applyBorder="1" applyAlignment="1">
      <x:alignment wrapText="1"/>
    </x:xf>
    <x:xf numFmtId="0" fontId="0" fillId="0" borderId="96" xfId="0" applyNumberFormat="1" applyFont="1" applyFill="1" applyBorder="1" applyAlignment="1">
      <x:alignment wrapText="1"/>
    </x:xf>
    <x:xf numFmtId="0" fontId="0" fillId="0" borderId="97" xfId="0" applyNumberFormat="1" applyFont="1" applyFill="1" applyBorder="1" applyAlignment="1">
      <x:alignment wrapText="1"/>
    </x:xf>
    <x:xf numFmtId="0" fontId="0" fillId="0" borderId="95" xfId="0" applyNumberFormat="1" applyFont="1" applyFill="1" applyBorder="1" applyAlignment="1">
      <x:alignment vertical="top" wrapText="1"/>
    </x:xf>
    <x:xf numFmtId="0" fontId="0" fillId="0" borderId="96" xfId="0" applyNumberFormat="1" applyFont="1" applyFill="1" applyBorder="1" applyAlignment="1">
      <x:alignment vertical="top" wrapText="1"/>
    </x:xf>
    <x:xf numFmtId="0" fontId="0" fillId="0" borderId="97" xfId="0" applyNumberFormat="1" applyFont="1" applyFill="1" applyBorder="1" applyAlignment="1">
      <x:alignment vertical="top" wrapText="1"/>
    </x:xf>
    <x:xf numFmtId="0" fontId="10" fillId="8" borderId="88" xfId="0" applyNumberFormat="1" applyFont="1" applyFill="1" applyBorder="1"/>
    <x:xf numFmtId="0" fontId="10" fillId="8" borderId="89" xfId="0" applyNumberFormat="1" applyFont="1" applyFill="1" applyBorder="1"/>
    <x:xf numFmtId="0" fontId="10" fillId="8" borderId="90" xfId="0" applyNumberFormat="1" applyFont="1" applyFill="1" applyBorder="1"/>
    <x:xf numFmtId="0" fontId="11" fillId="9" borderId="98" xfId="0" applyNumberFormat="1" applyFont="1" applyFill="1" applyBorder="1" applyAlignment="1">
      <x:alignment vertical="top" wrapText="1"/>
    </x:xf>
    <x:xf numFmtId="0" fontId="11" fillId="9" borderId="99" xfId="0" applyNumberFormat="1" applyFont="1" applyFill="1" applyBorder="1" applyAlignment="1">
      <x:alignment vertical="top" wrapText="1"/>
    </x:xf>
    <x:xf numFmtId="0" fontId="11" fillId="9" borderId="91" xfId="0" applyNumberFormat="1" applyFont="1" applyFill="1" applyBorder="1" applyAlignment="1">
      <x:alignment vertical="top" wrapText="1"/>
    </x:xf>
    <x:xf numFmtId="0" fontId="11" fillId="9" xfId="0" applyNumberFormat="1" applyFont="1" applyFill="1" applyBorder="0" applyAlignment="1">
      <x:alignment vertical="top" wrapText="1"/>
    </x:xf>
    <x:xf numFmtId="0" fontId="11" fillId="9" borderId="92" xfId="0" applyNumberFormat="1" applyFont="1" applyFill="1" applyBorder="1" applyAlignment="1">
      <x:alignment vertical="top" wrapText="1"/>
    </x:xf>
    <x:xf numFmtId="0" fontId="11" fillId="9" borderId="95" xfId="0" applyNumberFormat="1" applyFont="1" applyFill="1" applyBorder="1" applyAlignment="1">
      <x:alignment vertical="top" wrapText="1"/>
    </x:xf>
    <x:xf numFmtId="0" fontId="11" fillId="9" borderId="96" xfId="0" applyNumberFormat="1" applyFont="1" applyFill="1" applyBorder="1" applyAlignment="1">
      <x:alignment vertical="top" wrapText="1"/>
    </x:xf>
    <x:xf numFmtId="0" fontId="11" fillId="9" borderId="97" xfId="0" applyNumberFormat="1" applyFont="1" applyFill="1" applyBorder="1" applyAlignment="1">
      <x:alignment vertical="top" wrapText="1"/>
    </x:xf>
    <x:xf numFmtId="0" fontId="10" fillId="8" borderId="88" xfId="0" applyNumberFormat="1" applyFont="1" applyFill="1" applyBorder="1" applyAlignment="1">
      <x:alignment wrapText="1"/>
    </x:xf>
    <x:xf numFmtId="0" fontId="10" fillId="8" borderId="89" xfId="0" applyNumberFormat="1" applyFont="1" applyFill="1" applyBorder="1" applyAlignment="1">
      <x:alignment wrapText="1"/>
    </x:xf>
    <x:xf numFmtId="0" fontId="10" fillId="8" borderId="90" xfId="0" applyNumberFormat="1" applyFont="1" applyFill="1" applyBorder="1" applyAlignment="1">
      <x:alignment wrapText="1"/>
    </x:xf>
    <x:xf numFmtId="0" fontId="10" fillId="8" borderId="88" xfId="0" applyNumberFormat="1" applyFont="1" applyFill="1" applyBorder="1" applyAlignment="1">
      <x:alignment vertical="top" wrapText="1"/>
    </x:xf>
    <x:xf numFmtId="0" fontId="10" fillId="8" borderId="89" xfId="0" applyNumberFormat="1" applyFont="1" applyFill="1" applyBorder="1" applyAlignment="1">
      <x:alignment vertical="top" wrapText="1"/>
    </x:xf>
    <x:xf numFmtId="0" fontId="10" fillId="8" borderId="90" xfId="0" applyNumberFormat="1" applyFont="1" applyFill="1" applyBorder="1" applyAlignment="1">
      <x:alignment vertical="top" wrapText="1"/>
    </x:xf>
    <x:xf numFmtId="0" fontId="7" fillId="0" borderId="100" xfId="0" applyNumberFormat="1" applyFont="1" applyFill="1" applyBorder="1" applyAlignment="1">
      <x:alignment vertical="top" wrapText="1"/>
    </x:xf>
    <x:xf numFmtId="0" fontId="7" fillId="0" borderId="101" xfId="0" applyNumberFormat="1" applyFont="1" applyFill="1" applyBorder="1" applyAlignment="1">
      <x:alignment vertical="top" wrapText="1"/>
    </x:xf>
    <x:xf numFmtId="0" fontId="7" fillId="0" borderId="88" xfId="0" applyNumberFormat="1" applyFont="1" applyFill="1" applyBorder="1" applyAlignment="1">
      <x:alignment vertical="top" wrapText="1"/>
    </x:xf>
    <x:xf numFmtId="0" fontId="7" fillId="0" borderId="90" xfId="0" applyNumberFormat="1" applyFont="1" applyFill="1" applyBorder="1" applyAlignment="1">
      <x:alignment vertical="top" wrapText="1"/>
    </x:xf>
    <x:xf numFmtId="0" fontId="1" fillId="19" borderId="0" xfId="0" applyNumberFormat="1" applyFont="1" applyFill="1" applyBorder="1" applyAlignment="1">
      <x:alignment horizontal="left" vertical="center"/>
    </x:xf>
    <x:xf numFmtId="0" fontId="1" fillId="19" borderId="0" xfId="0" applyNumberFormat="1" applyFont="1" applyFill="1" applyBorder="1" applyAlignment="1">
      <x:alignment horizontal="left" vertical="center" wrapText="1"/>
    </x:xf>
    <x:xf numFmtId="0" fontId="2" fillId="20" borderId="0" xfId="0" applyNumberFormat="1" applyFont="1" applyFill="1" applyBorder="1" applyAlignment="1">
      <x:alignment horizontal="left" vertical="center" wrapText="1"/>
    </x:xf>
    <x:xf numFmtId="0" fontId="16" fillId="20" borderId="0" xfId="0" applyNumberFormat="1" applyFont="1" applyFill="1" applyBorder="1" applyAlignment="1">
      <x:alignment horizontal="left" vertical="center" wrapText="1"/>
    </x:xf>
    <x:xf numFmtId="0" fontId="10" fillId="20" borderId="18" xfId="0" applyNumberFormat="1" applyFont="1" applyFill="1" applyBorder="1" applyAlignment="1">
      <x:alignment vertical="center" wrapText="1"/>
    </x:xf>
    <x:xf numFmtId="0" fontId="10" fillId="20" borderId="19" xfId="0" applyNumberFormat="1" applyFont="1" applyFill="1" applyBorder="1" applyAlignment="1">
      <x:alignment vertical="center" wrapText="1"/>
    </x:xf>
    <x:xf numFmtId="0" fontId="17" fillId="20" borderId="18" xfId="0" applyNumberFormat="1" applyFont="1" applyFill="1" applyBorder="1" applyAlignment="1">
      <x:alignment vertical="center" wrapText="1"/>
    </x:xf>
    <x:xf numFmtId="0" fontId="17" fillId="20" borderId="19" xfId="0" applyNumberFormat="1" applyFont="1" applyFill="1" applyBorder="1" applyAlignment="1">
      <x:alignment vertical="center" wrapText="1"/>
    </x:xf>
    <x:xf numFmtId="0" fontId="17" fillId="20" borderId="18" xfId="0" applyNumberFormat="1" applyFont="1" applyFill="1" applyBorder="1" applyAlignment="1">
      <x:alignment horizontal="left" vertical="center" wrapText="1"/>
    </x:xf>
    <x:xf numFmtId="0" fontId="17" fillId="20" borderId="19" xfId="0" applyNumberFormat="1" applyFont="1" applyFill="1" applyBorder="1" applyAlignment="1">
      <x:alignment horizontal="left" vertical="center" wrapText="1"/>
    </x:xf>
    <x:xf numFmtId="0" fontId="10" fillId="20" borderId="0" xfId="0" applyNumberFormat="1" applyFont="1" applyFill="1" applyBorder="1" applyAlignment="1">
      <x:alignment vertical="center" wrapText="1"/>
    </x:xf>
    <x:xf numFmtId="0" fontId="17" fillId="20" borderId="0" xfId="0" applyNumberFormat="1" applyFont="1" applyFill="1" applyBorder="1" applyAlignment="1">
      <x:alignment vertical="center" wrapText="1"/>
    </x:xf>
    <x:xf numFmtId="0" fontId="17" fillId="20" borderId="0" xfId="0" applyNumberFormat="1" applyFont="1" applyFill="1" applyBorder="1" applyAlignment="1">
      <x:alignment horizontal="left" vertical="center" wrapText="1"/>
    </x:xf>
    <x:xf numFmtId="0" fontId="10" fillId="19" borderId="6" xfId="0" applyNumberFormat="1" applyFont="1" applyFill="1" applyBorder="1" applyAlignment="1">
      <x:alignment vertical="center" wrapText="1"/>
    </x:xf>
    <x:xf numFmtId="0" fontId="10" fillId="19" borderId="2" xfId="0" applyNumberFormat="1" applyFont="1" applyFill="1" applyBorder="1" applyAlignment="1">
      <x:alignment vertical="center" wrapText="1"/>
    </x:xf>
    <x:xf numFmtId="0" fontId="8" fillId="19" borderId="6" xfId="0" applyNumberFormat="1" applyFont="1" applyFill="1" applyBorder="1" applyAlignment="1">
      <x:alignment vertical="center" wrapText="1"/>
    </x:xf>
    <x:xf numFmtId="0" fontId="8" fillId="19" borderId="2" xfId="0" applyNumberFormat="1" applyFont="1" applyFill="1" applyBorder="1" applyAlignment="1">
      <x:alignment vertical="center" wrapText="1"/>
    </x:xf>
    <x:xf numFmtId="0" fontId="8" fillId="19" borderId="102" xfId="0" applyNumberFormat="1" applyFont="1" applyFill="1" applyBorder="1" applyAlignment="1">
      <x:alignment vertical="center" wrapText="1"/>
    </x:xf>
    <x:xf numFmtId="0" fontId="8" fillId="19" borderId="103" xfId="0" applyNumberFormat="1" applyFont="1" applyFill="1" applyBorder="1" applyAlignment="1">
      <x:alignment vertical="center" wrapText="1"/>
    </x:xf>
    <x:xf numFmtId="0" fontId="8" fillId="19" borderId="104" xfId="0" applyNumberFormat="1" applyFont="1" applyFill="1" applyBorder="1" applyAlignment="1">
      <x:alignment vertical="center" wrapText="1"/>
    </x:xf>
    <x:xf numFmtId="0" fontId="8" fillId="19" borderId="102" xfId="0" applyNumberFormat="1" applyFont="1" applyFill="1" applyBorder="1" applyAlignment="1">
      <x:alignment horizontal="center" vertical="center" wrapText="1"/>
    </x:xf>
    <x:xf numFmtId="0" fontId="8" fillId="19" borderId="103" xfId="0" applyNumberFormat="1" applyFont="1" applyFill="1" applyBorder="1" applyAlignment="1">
      <x:alignment horizontal="center" vertical="center" wrapText="1"/>
    </x:xf>
    <x:xf numFmtId="0" fontId="8" fillId="19" borderId="104" xfId="0" applyNumberFormat="1" applyFont="1" applyFill="1" applyBorder="1" applyAlignment="1">
      <x:alignment horizontal="center" vertical="center" wrapText="1"/>
    </x:xf>
    <x:xf numFmtId="0" fontId="10" fillId="19" borderId="0" xfId="0" applyNumberFormat="1" applyFont="1" applyFill="1" applyBorder="1" applyAlignment="1">
      <x:alignment vertical="center" wrapText="1"/>
    </x:xf>
    <x:xf numFmtId="0" fontId="8" fillId="19" borderId="0" xfId="0" applyNumberFormat="1" applyFont="1" applyFill="1" applyBorder="1" applyAlignment="1">
      <x:alignment vertical="center" wrapText="1"/>
    </x:xf>
    <x:xf numFmtId="0" fontId="0" fillId="0" borderId="88" xfId="0" applyNumberFormat="1" applyFont="1" applyFill="1" applyBorder="1"/>
    <x:xf numFmtId="0" fontId="0" fillId="0" borderId="89" xfId="0" applyNumberFormat="1" applyFont="1" applyFill="1" applyBorder="1"/>
    <x:xf numFmtId="0" fontId="0" fillId="0" borderId="90" xfId="0" applyNumberFormat="1" applyFont="1" applyFill="1" applyBorder="1"/>
    <x:xf numFmtId="0" fontId="6" fillId="6" borderId="105" xfId="0" applyNumberFormat="1" applyFont="1" applyFill="1" applyBorder="1" applyAlignment="1">
      <x:alignment horizontal="center" vertical="center" wrapText="1"/>
    </x:xf>
    <x:xf numFmtId="0" fontId="6" fillId="6" borderId="106" xfId="0" applyNumberFormat="1" applyFont="1" applyFill="1" applyBorder="1" applyAlignment="1">
      <x:alignment horizontal="center" vertical="center" wrapText="1"/>
    </x:xf>
    <x:xf numFmtId="0" fontId="7" fillId="0" borderId="107" xfId="0" applyNumberFormat="1" applyFont="1" applyFill="1" applyBorder="1" applyAlignment="1">
      <x:alignment vertical="top" wrapText="1"/>
    </x:xf>
    <x:xf numFmtId="0" fontId="7" fillId="0" borderId="108" xfId="0" applyNumberFormat="1" applyFont="1" applyFill="1" applyBorder="1" applyAlignment="1">
      <x:alignment vertical="top" wrapText="1"/>
    </x:xf>
    <x:xf numFmtId="0" fontId="7" fillId="0" borderId="109" xfId="0" applyNumberFormat="1" applyFont="1" applyFill="1" applyBorder="1" applyAlignment="1">
      <x:alignment vertical="top" wrapText="1"/>
    </x:xf>
    <x:xf numFmtId="0" fontId="0" fillId="0" borderId="88" xfId="0" applyNumberFormat="1" applyFont="1" applyFill="1" applyBorder="1" applyAlignment="1">
      <x:alignment wrapText="1"/>
    </x:xf>
    <x:xf numFmtId="0" fontId="0" fillId="0" borderId="89" xfId="0" applyNumberFormat="1" applyFont="1" applyFill="1" applyBorder="1" applyAlignment="1">
      <x:alignment wrapText="1"/>
    </x:xf>
    <x:xf numFmtId="0" fontId="0" fillId="0" borderId="90" xfId="0" applyNumberFormat="1" applyFont="1" applyFill="1" applyBorder="1" applyAlignment="1">
      <x:alignment wrapText="1"/>
    </x:xf>
    <x:xf numFmtId="0" fontId="0" fillId="0" borderId="88" xfId="0" applyNumberFormat="1" applyFont="1" applyFill="1" applyBorder="1" applyAlignment="1">
      <x:alignment vertical="top" wrapText="1"/>
    </x:xf>
    <x:xf numFmtId="0" fontId="0" fillId="0" borderId="89" xfId="0" applyNumberFormat="1" applyFont="1" applyFill="1" applyBorder="1" applyAlignment="1">
      <x:alignment vertical="top" wrapText="1"/>
    </x:xf>
    <x:xf numFmtId="0" fontId="0" fillId="0" borderId="90" xfId="0" applyNumberFormat="1" applyFont="1" applyFill="1" applyBorder="1" applyAlignment="1">
      <x:alignment vertical="top" wrapText="1"/>
    </x:xf>
    <x:xf numFmtId="0" fontId="6" fillId="6" borderId="105" xfId="0" applyNumberFormat="1" applyFont="1" applyFill="1" applyBorder="1" applyAlignment="1">
      <x:alignment horizontal="center" vertical="top" wrapText="1"/>
    </x:xf>
    <x:xf numFmtId="0" fontId="6" fillId="6" borderId="13" xfId="0" applyNumberFormat="1" applyFont="1" applyFill="1" applyBorder="1" applyAlignment="1">
      <x:alignment horizontal="center" vertical="top" wrapText="1"/>
    </x:xf>
    <x:xf numFmtId="0" fontId="6" fillId="6" borderId="106" xfId="0" applyNumberFormat="1" applyFont="1" applyFill="1" applyBorder="1" applyAlignment="1">
      <x:alignment horizontal="center" vertical="top" wrapText="1"/>
    </x:xf>
    <x:xf numFmtId="0" fontId="6" fillId="6" borderId="91" xfId="0" applyNumberFormat="1" applyFont="1" applyFill="1" applyBorder="1" applyAlignment="1">
      <x:alignment horizontal="center" vertical="center" wrapText="1"/>
    </x:xf>
    <x:xf numFmtId="0" fontId="6" fillId="6" borderId="92" xfId="0" applyNumberFormat="1" applyFont="1" applyFill="1" applyBorder="1" applyAlignment="1">
      <x:alignment horizontal="center" vertical="center" wrapText="1"/>
    </x:xf>
    <x:xf numFmtId="0" fontId="7" fillId="0" borderId="95" xfId="0" applyNumberFormat="1" applyFont="1" applyFill="1" applyBorder="1" applyAlignment="1">
      <x:alignment vertical="top" wrapText="1"/>
    </x:xf>
    <x:xf numFmtId="0" fontId="7" fillId="0" borderId="96" xfId="0" applyNumberFormat="1" applyFont="1" applyFill="1" applyBorder="1" applyAlignment="1">
      <x:alignment vertical="top" wrapText="1"/>
    </x:xf>
    <x:xf numFmtId="0" fontId="7" fillId="0" borderId="97" xfId="0" applyNumberFormat="1" applyFont="1" applyFill="1" applyBorder="1" applyAlignment="1">
      <x:alignment vertical="top" wrapText="1"/>
    </x:xf>
    <x:xf numFmtId="0" fontId="6" fillId="6" borderId="91" xfId="0" applyNumberFormat="1" applyFont="1" applyFill="1" applyBorder="1" applyAlignment="1">
      <x:alignment horizontal="center" vertical="top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0" fontId="6" fillId="6" borderId="92" xfId="0" applyNumberFormat="1" applyFont="1" applyFill="1" applyBorder="1" applyAlignment="1">
      <x:alignment horizontal="center" vertical="top" wrapText="1"/>
    </x:xf>
    <x:xf numFmtId="0" fontId="7" fillId="20" borderId="4" xfId="0" applyNumberFormat="1" applyFont="1" applyFill="1" applyBorder="1" applyAlignment="1">
      <x:alignment vertical="top" wrapText="1"/>
    </x:xf>
    <x:xf numFmtId="0" fontId="7" fillId="20" borderId="0" xfId="0" applyNumberFormat="1" applyFont="1" applyFill="1" applyBorder="1" applyAlignment="1">
      <x:alignment vertical="top" wrapText="1"/>
    </x:xf>
    <x:xf numFmtId="0" fontId="7" fillId="20" borderId="5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18" fillId="20" borderId="4" xfId="0" applyNumberFormat="1" applyFont="1" applyFill="1" applyBorder="1" applyAlignment="1">
      <x:alignment vertical="top" wrapText="1"/>
    </x:xf>
    <x:xf numFmtId="0" fontId="18" fillId="20" borderId="0" xfId="0" applyNumberFormat="1" applyFont="1" applyFill="1" applyBorder="1" applyAlignment="1">
      <x:alignment vertical="top" wrapText="1"/>
    </x:xf>
    <x:xf numFmtId="0" fontId="18" fillId="20" borderId="5" xfId="0" applyNumberFormat="1" applyFont="1" applyFill="1" applyBorder="1" applyAlignment="1">
      <x:alignment vertical="top" wrapText="1"/>
    </x:xf>
    <x:xf numFmtId="0" fontId="17" fillId="20" borderId="0" xfId="0" applyNumberFormat="1" applyFont="1" applyFill="1" applyBorder="1"/>
    <x:xf numFmtId="0" fontId="17" fillId="20" borderId="0" xfId="0" applyNumberFormat="1" applyFont="1" applyFill="1" applyBorder="1" applyAlignment="1">
      <x:alignment wrapText="1"/>
    </x:xf>
    <x:xf numFmtId="0" fontId="18" fillId="20" borderId="4" xfId="0" applyNumberFormat="1" applyFont="1" applyFill="1" applyBorder="1" applyAlignment="1">
      <x:alignment horizontal="left" vertical="top" wrapText="1"/>
    </x:xf>
    <x:xf numFmtId="0" fontId="18" fillId="20" borderId="0" xfId="0" applyNumberFormat="1" applyFont="1" applyFill="1" applyBorder="1" applyAlignment="1">
      <x:alignment horizontal="left" vertical="top" wrapText="1"/>
    </x:xf>
    <x:xf numFmtId="0" fontId="18" fillId="20" borderId="5" xfId="0" applyNumberFormat="1" applyFont="1" applyFill="1" applyBorder="1" applyAlignment="1">
      <x:alignment horizontal="left" vertical="top" wrapText="1"/>
    </x:xf>
    <x:xf numFmtId="0" fontId="17" fillId="20" borderId="0" xfId="0" applyNumberFormat="1" applyFont="1" applyFill="1" applyBorder="1" applyAlignment="1">
      <x:alignment horizontal="left" wrapText="1"/>
    </x:xf>
    <x:xf numFmtId="0" fontId="18" fillId="20" borderId="4" xfId="0" applyNumberFormat="1" applyFont="1" applyFill="1" applyBorder="1" applyAlignment="1">
      <x:alignment horizontal="left" vertical="center" wrapText="1"/>
    </x:xf>
    <x:xf numFmtId="0" fontId="18" fillId="20" borderId="0" xfId="0" applyNumberFormat="1" applyFont="1" applyFill="1" applyBorder="1" applyAlignment="1">
      <x:alignment horizontal="left" vertical="center" wrapText="1"/>
    </x:xf>
    <x:xf numFmtId="0" fontId="18" fillId="20" borderId="5" xfId="0" applyNumberFormat="1" applyFont="1" applyFill="1" applyBorder="1" applyAlignment="1">
      <x:alignment horizontal="left" vertical="center" wrapText="1"/>
    </x:xf>
    <x:xf numFmtId="0" fontId="7" fillId="19" borderId="4" xfId="0" applyNumberFormat="1" applyFont="1" applyFill="1" applyBorder="1" applyAlignment="1">
      <x:alignment vertical="top" wrapText="1"/>
    </x:xf>
    <x:xf numFmtId="0" fontId="7" fillId="19" borderId="0" xfId="0" applyNumberFormat="1" applyFont="1" applyFill="1" applyBorder="1" applyAlignment="1">
      <x:alignment vertical="top" wrapText="1"/>
    </x:xf>
    <x:xf numFmtId="0" fontId="7" fillId="19" borderId="5" xfId="0" applyNumberFormat="1" applyFont="1" applyFill="1" applyBorder="1" applyAlignment="1">
      <x:alignment vertical="top" wrapText="1"/>
    </x:xf>
    <x:xf numFmtId="0" fontId="13" fillId="19" borderId="4" xfId="0" applyNumberFormat="1" applyFont="1" applyFill="1" applyBorder="1" applyAlignment="1">
      <x:alignment vertical="top" wrapText="1"/>
    </x:xf>
    <x:xf numFmtId="0" fontId="13" fillId="19" borderId="0" xfId="0" applyNumberFormat="1" applyFont="1" applyFill="1" applyBorder="1" applyAlignment="1">
      <x:alignment vertical="top" wrapText="1"/>
    </x:xf>
    <x:xf numFmtId="0" fontId="13" fillId="19" borderId="5" xfId="0" applyNumberFormat="1" applyFont="1" applyFill="1" applyBorder="1" applyAlignment="1">
      <x:alignment vertical="top" wrapText="1"/>
    </x:xf>
    <x:xf numFmtId="0" fontId="13" fillId="19" borderId="102" xfId="0" applyNumberFormat="1" applyFont="1" applyFill="1" applyBorder="1" applyAlignment="1">
      <x:alignment vertical="top" wrapText="1"/>
    </x:xf>
    <x:xf numFmtId="0" fontId="13" fillId="19" borderId="103" xfId="0" applyNumberFormat="1" applyFont="1" applyFill="1" applyBorder="1" applyAlignment="1">
      <x:alignment vertical="top" wrapText="1"/>
    </x:xf>
    <x:xf numFmtId="0" fontId="13" fillId="19" borderId="104" xfId="0" applyNumberFormat="1" applyFont="1" applyFill="1" applyBorder="1" applyAlignment="1">
      <x:alignment vertical="top" wrapText="1"/>
    </x:xf>
    <x:xf numFmtId="0" fontId="13" fillId="19" borderId="102" xfId="0" applyNumberFormat="1" applyFont="1" applyFill="1" applyBorder="1" applyAlignment="1">
      <x:alignment horizontal="center" vertical="top" wrapText="1"/>
    </x:xf>
    <x:xf numFmtId="0" fontId="13" fillId="19" borderId="103" xfId="0" applyNumberFormat="1" applyFont="1" applyFill="1" applyBorder="1" applyAlignment="1">
      <x:alignment horizontal="center" vertical="top" wrapText="1"/>
    </x:xf>
    <x:xf numFmtId="0" fontId="13" fillId="19" borderId="104" xfId="0" applyNumberFormat="1" applyFont="1" applyFill="1" applyBorder="1" applyAlignment="1">
      <x:alignment horizontal="center" vertical="top" wrapText="1"/>
    </x:xf>
    <x:xf numFmtId="0" fontId="13" fillId="19" borderId="102" xfId="0" applyNumberFormat="1" applyFont="1" applyFill="1" applyBorder="1" applyAlignment="1">
      <x:alignment horizontal="center" vertical="center" wrapText="1"/>
    </x:xf>
    <x:xf numFmtId="0" fontId="13" fillId="19" borderId="103" xfId="0" applyNumberFormat="1" applyFont="1" applyFill="1" applyBorder="1" applyAlignment="1">
      <x:alignment horizontal="center" vertical="center" wrapText="1"/>
    </x:xf>
    <x:xf numFmtId="0" fontId="13" fillId="19" borderId="104" xfId="0" applyNumberFormat="1" applyFont="1" applyFill="1" applyBorder="1" applyAlignment="1">
      <x:alignment horizontal="center" vertical="center" wrapText="1"/>
    </x:xf>
    <x:xf numFmtId="0" fontId="7" fillId="0" borderId="89" xfId="0" applyNumberFormat="1" applyFont="1" applyFill="1" applyBorder="1" applyAlignment="1">
      <x:alignment vertical="top" wrapText="1"/>
    </x:xf>
    <x:xf numFmtId="0" fontId="7" fillId="0" borderId="93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94" xfId="0" applyNumberFormat="1" applyFont="1" applyFill="1" applyBorder="1" applyAlignment="1">
      <x:alignment vertical="top" wrapText="1"/>
    </x:xf>
    <x:xf numFmtId="0" fontId="0" fillId="0" borderId="91" xfId="0" applyNumberFormat="1" applyFont="1" applyFill="1" applyBorder="1"/>
    <x:xf numFmtId="0" fontId="0" fillId="0" xfId="0" applyNumberFormat="1" applyFont="1" applyFill="1" applyBorder="0"/>
    <x:xf numFmtId="0" fontId="0" fillId="0" borderId="92" xfId="0" applyNumberFormat="1" applyFont="1" applyFill="1" applyBorder="1"/>
    <x:xf numFmtId="0" fontId="10" fillId="7" borderId="107" xfId="0" applyNumberFormat="1" applyFont="1" applyFill="1" applyBorder="1" applyAlignment="1">
      <x:alignment horizontal="center" vertical="center" wrapText="1"/>
    </x:xf>
    <x:xf numFmtId="0" fontId="10" fillId="7" borderId="108" xfId="0" applyNumberFormat="1" applyFont="1" applyFill="1" applyBorder="1" applyAlignment="1">
      <x:alignment horizontal="center" vertical="center" wrapText="1"/>
    </x:xf>
    <x:xf numFmtId="0" fontId="10" fillId="7" borderId="110" xfId="0" applyNumberFormat="1" applyFont="1" applyFill="1" applyBorder="1" applyAlignment="1">
      <x:alignment horizontal="center" vertical="center" wrapText="1"/>
    </x:xf>
    <x:xf numFmtId="0" fontId="0" fillId="0" borderId="91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92" xfId="0" applyNumberFormat="1" applyFont="1" applyFill="1" applyBorder="1" applyAlignment="1">
      <x:alignment wrapText="1"/>
    </x:xf>
    <x:xf numFmtId="0" fontId="0" fillId="0" borderId="91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92" xfId="0" applyNumberFormat="1" applyFont="1" applyFill="1" applyBorder="1" applyAlignment="1">
      <x:alignment vertical="top" wrapText="1"/>
    </x:xf>
    <x:xf numFmtId="0" fontId="10" fillId="7" borderId="107" xfId="0" applyNumberFormat="1" applyFont="1" applyFill="1" applyBorder="1" applyAlignment="1">
      <x:alignment horizontal="center" vertical="top" wrapText="1"/>
    </x:xf>
    <x:xf numFmtId="0" fontId="10" fillId="7" borderId="108" xfId="0" applyNumberFormat="1" applyFont="1" applyFill="1" applyBorder="1" applyAlignment="1">
      <x:alignment horizontal="center" vertical="top" wrapText="1"/>
    </x:xf>
    <x:xf numFmtId="0" fontId="10" fillId="7" borderId="110" xfId="0" applyNumberFormat="1" applyFont="1" applyFill="1" applyBorder="1" applyAlignment="1">
      <x:alignment horizontal="center" vertical="top" wrapText="1"/>
    </x:xf>
    <x:xf numFmtId="0" fontId="7" fillId="0" borderId="91" xfId="0" applyNumberFormat="1" applyFont="1" applyFill="1" applyBorder="1" applyAlignment="1">
      <x:alignment vertical="top" wrapText="1"/>
    </x:xf>
    <x:xf numFmtId="0" fontId="7" fillId="0" borderId="92" xfId="0" applyNumberFormat="1" applyFont="1" applyFill="1" applyBorder="1" applyAlignment="1">
      <x:alignment vertical="top" wrapText="1"/>
    </x:xf>
    <x:xf numFmtId="0" fontId="10" fillId="7" borderId="95" xfId="0" applyNumberFormat="1" applyFont="1" applyFill="1" applyBorder="1" applyAlignment="1">
      <x:alignment horizontal="center" vertical="center" wrapText="1"/>
    </x:xf>
    <x:xf numFmtId="0" fontId="10" fillId="7" borderId="96" xfId="0" applyNumberFormat="1" applyFont="1" applyFill="1" applyBorder="1" applyAlignment="1">
      <x:alignment horizontal="center" vertical="center" wrapText="1"/>
    </x:xf>
    <x:xf numFmtId="0" fontId="10" fillId="7" borderId="95" xfId="0" applyNumberFormat="1" applyFont="1" applyFill="1" applyBorder="1" applyAlignment="1">
      <x:alignment horizontal="center" vertical="top" wrapText="1"/>
    </x:xf>
    <x:xf numFmtId="0" fontId="10" fillId="7" borderId="96" xfId="0" applyNumberFormat="1" applyFont="1" applyFill="1" applyBorder="1" applyAlignment="1">
      <x:alignment horizontal="center" vertical="top" wrapText="1"/>
    </x:xf>
    <x:xf numFmtId="0" fontId="10" fillId="20" borderId="4" xfId="0" applyNumberFormat="1" applyFont="1" applyFill="1" applyBorder="1" applyAlignment="1">
      <x:alignment horizontal="center" vertical="center" wrapText="1"/>
    </x:xf>
    <x:xf numFmtId="0" fontId="10" fillId="20" borderId="0" xfId="0" applyNumberFormat="1" applyFont="1" applyFill="1" applyBorder="1" applyAlignment="1">
      <x:alignment horizontal="center" vertical="center" wrapText="1"/>
    </x:xf>
    <x:xf numFmtId="0" fontId="10" fillId="20" borderId="5" xfId="0" applyNumberFormat="1" applyFont="1" applyFill="1" applyBorder="1" applyAlignment="1">
      <x:alignment horizontal="center" vertical="center" wrapText="1"/>
    </x:xf>
    <x:xf numFmtId="0" fontId="17" fillId="20" borderId="4" xfId="0" applyNumberFormat="1" applyFont="1" applyFill="1" applyBorder="1" applyAlignment="1">
      <x:alignment horizontal="center" vertical="center" wrapText="1"/>
    </x:xf>
    <x:xf numFmtId="0" fontId="17" fillId="20" borderId="0" xfId="0" applyNumberFormat="1" applyFont="1" applyFill="1" applyBorder="1" applyAlignment="1">
      <x:alignment horizontal="center" vertical="center" wrapText="1"/>
    </x:xf>
    <x:xf numFmtId="0" fontId="17" fillId="20" borderId="5" xfId="0" applyNumberFormat="1" applyFont="1" applyFill="1" applyBorder="1" applyAlignment="1">
      <x:alignment horizontal="center" vertical="center" wrapText="1"/>
    </x:xf>
    <x:xf numFmtId="0" fontId="17" fillId="20" borderId="4" xfId="0" applyNumberFormat="1" applyFont="1" applyFill="1" applyBorder="1" applyAlignment="1">
      <x:alignment horizontal="left" vertical="center" wrapText="1"/>
    </x:xf>
    <x:xf numFmtId="0" fontId="17" fillId="20" borderId="5" xfId="0" applyNumberFormat="1" applyFont="1" applyFill="1" applyBorder="1" applyAlignment="1">
      <x:alignment horizontal="left" vertical="center" wrapText="1"/>
    </x:xf>
    <x:xf numFmtId="0" fontId="10" fillId="19" borderId="6" xfId="0" applyNumberFormat="1" applyFont="1" applyFill="1" applyBorder="1" applyAlignment="1">
      <x:alignment horizontal="center" vertical="center" wrapText="1"/>
    </x:xf>
    <x:xf numFmtId="0" fontId="10" fillId="19" borderId="2" xfId="0" applyNumberFormat="1" applyFont="1" applyFill="1" applyBorder="1" applyAlignment="1">
      <x:alignment horizontal="center" vertical="center" wrapText="1"/>
    </x:xf>
    <x:xf numFmtId="0" fontId="10" fillId="19" borderId="7" xfId="0" applyNumberFormat="1" applyFont="1" applyFill="1" applyBorder="1" applyAlignment="1">
      <x:alignment horizontal="center" vertical="center" wrapText="1"/>
    </x:xf>
    <x:xf numFmtId="0" fontId="8" fillId="19" borderId="6" xfId="0" applyNumberFormat="1" applyFont="1" applyFill="1" applyBorder="1" applyAlignment="1">
      <x:alignment horizontal="center" vertical="center" wrapText="1"/>
    </x:xf>
    <x:xf numFmtId="0" fontId="8" fillId="19" borderId="2" xfId="0" applyNumberFormat="1" applyFont="1" applyFill="1" applyBorder="1" applyAlignment="1">
      <x:alignment horizontal="center" vertical="center" wrapText="1"/>
    </x:xf>
    <x:xf numFmtId="0" fontId="8" fillId="19" borderId="7" xfId="0" applyNumberFormat="1" applyFont="1" applyFill="1" applyBorder="1" applyAlignment="1">
      <x:alignment horizontal="center" vertical="center" wrapText="1"/>
    </x:xf>
    <x:xf numFmtId="0" fontId="10" fillId="19" borderId="0" xfId="0" applyNumberFormat="1" applyFont="1" applyFill="1" applyBorder="1" applyAlignment="1">
      <x:alignment horizontal="center" vertical="center" wrapText="1"/>
    </x:xf>
    <x:xf numFmtId="0" fontId="8" fillId="19" borderId="0" xfId="0" applyNumberFormat="1" applyFont="1" applyFill="1" applyBorder="1" applyAlignment="1">
      <x:alignment horizontal="center" vertical="center" wrapText="1"/>
    </x:xf>
    <x:xf numFmtId="0" fontId="12" fillId="9" borderId="98" xfId="0" applyNumberFormat="1" applyFont="1" applyFill="1" applyBorder="1" applyAlignment="1">
      <x:alignment horizontal="center" vertical="center" wrapText="1"/>
    </x:xf>
    <x:xf numFmtId="0" fontId="12" fillId="9" borderId="19" xfId="0" applyNumberFormat="1" applyFont="1" applyFill="1" applyBorder="1" applyAlignment="1">
      <x:alignment horizontal="center" vertical="center" wrapText="1"/>
    </x:xf>
    <x:xf numFmtId="0" fontId="12" fillId="9" borderId="99" xfId="0" applyNumberFormat="1" applyFont="1" applyFill="1" applyBorder="1" applyAlignment="1">
      <x:alignment horizontal="center" vertical="center" wrapText="1"/>
    </x:xf>
    <x:xf numFmtId="0" fontId="12" fillId="9" borderId="91" xfId="0" applyNumberFormat="1" applyFont="1" applyFill="1" applyBorder="1" applyAlignment="1">
      <x:alignment horizontal="center" vertical="center" wrapText="1"/>
    </x:xf>
    <x:xf numFmtId="0" fontId="12" fillId="9" xfId="0" applyNumberFormat="1" applyFont="1" applyFill="1" applyBorder="0" applyAlignment="1">
      <x:alignment horizontal="center" vertical="center" wrapText="1"/>
    </x:xf>
    <x:xf numFmtId="0" fontId="12" fillId="9" borderId="92" xfId="0" applyNumberFormat="1" applyFont="1" applyFill="1" applyBorder="1" applyAlignment="1">
      <x:alignment horizontal="center" vertical="center" wrapText="1"/>
    </x:xf>
    <x:xf numFmtId="0" fontId="12" fillId="9" borderId="93" xfId="0" applyNumberFormat="1" applyFont="1" applyFill="1" applyBorder="1" applyAlignment="1">
      <x:alignment horizontal="center" vertical="center" wrapText="1"/>
    </x:xf>
    <x:xf numFmtId="0" fontId="12" fillId="9" borderId="2" xfId="0" applyNumberFormat="1" applyFont="1" applyFill="1" applyBorder="1" applyAlignment="1">
      <x:alignment horizontal="center" vertical="center" wrapText="1"/>
    </x:xf>
    <x:xf numFmtId="0" fontId="12" fillId="9" borderId="94" xfId="0" applyNumberFormat="1" applyFont="1" applyFill="1" applyBorder="1" applyAlignment="1">
      <x:alignment horizontal="center" vertical="center" wrapText="1"/>
    </x:xf>
    <x:xf numFmtId="0" fontId="12" fillId="9" borderId="98" xfId="0" applyNumberFormat="1" applyFont="1" applyFill="1" applyBorder="1" applyAlignment="1">
      <x:alignment horizontal="center" vertical="top" wrapText="1"/>
    </x:xf>
    <x:xf numFmtId="0" fontId="12" fillId="9" borderId="19" xfId="0" applyNumberFormat="1" applyFont="1" applyFill="1" applyBorder="1" applyAlignment="1">
      <x:alignment horizontal="center" vertical="top" wrapText="1"/>
    </x:xf>
    <x:xf numFmtId="0" fontId="12" fillId="9" borderId="99" xfId="0" applyNumberFormat="1" applyFont="1" applyFill="1" applyBorder="1" applyAlignment="1">
      <x:alignment horizontal="center" vertical="top" wrapText="1"/>
    </x:xf>
    <x:xf numFmtId="0" fontId="12" fillId="9" borderId="91" xfId="0" applyNumberFormat="1" applyFont="1" applyFill="1" applyBorder="1" applyAlignment="1">
      <x:alignment horizontal="center" vertical="top" wrapText="1"/>
    </x:xf>
    <x:xf numFmtId="0" fontId="12" fillId="9" xfId="0" applyNumberFormat="1" applyFont="1" applyFill="1" applyBorder="0" applyAlignment="1">
      <x:alignment horizontal="center" vertical="top" wrapText="1"/>
    </x:xf>
    <x:xf numFmtId="0" fontId="12" fillId="9" borderId="92" xfId="0" applyNumberFormat="1" applyFont="1" applyFill="1" applyBorder="1" applyAlignment="1">
      <x:alignment horizontal="center" vertical="top" wrapText="1"/>
    </x:xf>
    <x:xf numFmtId="0" fontId="12" fillId="9" borderId="93" xfId="0" applyNumberFormat="1" applyFont="1" applyFill="1" applyBorder="1" applyAlignment="1">
      <x:alignment horizontal="center" vertical="top" wrapText="1"/>
    </x:xf>
    <x:xf numFmtId="0" fontId="12" fillId="9" borderId="2" xfId="0" applyNumberFormat="1" applyFont="1" applyFill="1" applyBorder="1" applyAlignment="1">
      <x:alignment horizontal="center" vertical="top" wrapText="1"/>
    </x:xf>
    <x:xf numFmtId="0" fontId="12" fillId="9" borderId="94" xfId="0" applyNumberFormat="1" applyFont="1" applyFill="1" applyBorder="1" applyAlignment="1">
      <x:alignment horizontal="center" vertical="top" wrapText="1"/>
    </x:xf>
    <x:xf numFmtId="0" fontId="12" fillId="9" borderId="0" xfId="0" applyNumberFormat="1" applyFont="1" applyFill="1" applyBorder="1" applyAlignment="1">
      <x:alignment horizontal="center" vertical="top" wrapText="1"/>
    </x:xf>
    <x:xf numFmtId="0" fontId="0" fillId="19" borderId="0" xfId="0" applyNumberFormat="1" applyFont="1" applyFill="1" applyBorder="1"/>
    <x:xf numFmtId="0" fontId="8" fillId="19" borderId="0" xfId="0" applyNumberFormat="1" applyFont="1" applyFill="1" applyBorder="1"/>
    <x:xf numFmtId="0" fontId="8" fillId="19" borderId="102" xfId="0" applyNumberFormat="1" applyFont="1" applyFill="1" applyBorder="1"/>
    <x:xf numFmtId="0" fontId="8" fillId="19" borderId="103" xfId="0" applyNumberFormat="1" applyFont="1" applyFill="1" applyBorder="1"/>
    <x:xf numFmtId="0" fontId="8" fillId="19" borderId="104" xfId="0" applyNumberFormat="1" applyFont="1" applyFill="1" applyBorder="1"/>
    <x:xf numFmtId="0" fontId="8" fillId="19" borderId="102" xfId="0" applyNumberFormat="1" applyFont="1" applyFill="1" applyBorder="1" applyAlignment="1">
      <x:alignment wrapText="1"/>
    </x:xf>
    <x:xf numFmtId="0" fontId="8" fillId="19" borderId="103" xfId="0" applyNumberFormat="1" applyFont="1" applyFill="1" applyBorder="1" applyAlignment="1">
      <x:alignment wrapText="1"/>
    </x:xf>
    <x:xf numFmtId="0" fontId="8" fillId="19" borderId="104" xfId="0" applyNumberFormat="1" applyFont="1" applyFill="1" applyBorder="1" applyAlignment="1">
      <x:alignment wrapText="1"/>
    </x:xf>
    <x:xf numFmtId="0" fontId="8" fillId="19" borderId="102" xfId="0" applyNumberFormat="1" applyFont="1" applyFill="1" applyBorder="1" applyAlignment="1">
      <x:alignment horizontal="center" wrapText="1"/>
    </x:xf>
    <x:xf numFmtId="0" fontId="8" fillId="19" borderId="103" xfId="0" applyNumberFormat="1" applyFont="1" applyFill="1" applyBorder="1" applyAlignment="1">
      <x:alignment horizontal="center" wrapText="1"/>
    </x:xf>
    <x:xf numFmtId="0" fontId="8" fillId="19" borderId="10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0" fillId="7" borderId="2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10" fillId="3" borderId="18" xfId="0" applyNumberFormat="1" applyFont="1" applyFill="1" applyBorder="1" applyAlignment="1">
      <x:alignment horizontal="center" vertical="center" wrapText="1"/>
    </x:xf>
    <x:xf numFmtId="0" fontId="10" fillId="3" borderId="19" xfId="0" applyNumberFormat="1" applyFont="1" applyFill="1" applyBorder="1" applyAlignment="1">
      <x:alignment horizontal="center" vertical="center" wrapText="1"/>
    </x:xf>
    <x:xf numFmtId="0" fontId="10" fillId="3" borderId="20" xfId="0" applyNumberFormat="1" applyFont="1" applyFill="1" applyBorder="1" applyAlignment="1">
      <x:alignment horizontal="center" vertical="center" wrapText="1"/>
    </x:xf>
    <x:xf numFmtId="0" fontId="10" fillId="8" borderId="18" xfId="0" applyNumberFormat="1" applyFont="1" applyFill="1" applyBorder="1" applyAlignment="1">
      <x:alignment horizontal="center" vertical="center" wrapText="1"/>
    </x:xf>
    <x:xf numFmtId="0" fontId="10" fillId="7" borderId="4" xfId="0" applyNumberFormat="1" applyFont="1" applyFill="1" applyBorder="1" applyAlignment="1">
      <x:alignment horizontal="center" vertical="center" wrapText="1"/>
    </x:xf>
    <x:xf numFmtId="0" fontId="10" fillId="7" borderId="5" xfId="0" applyNumberFormat="1" applyFont="1" applyFill="1" applyBorder="1" applyAlignment="1">
      <x:alignment horizontal="center" vertical="center" wrapText="1"/>
    </x:xf>
    <x:xf numFmtId="0" fontId="10" fillId="3" borderId="4" xfId="0" applyNumberFormat="1" applyFont="1" applyFill="1" applyBorder="1" applyAlignment="1">
      <x:alignment horizontal="center" vertical="center" wrapText="1"/>
    </x:xf>
    <x:xf numFmtId="0" fontId="10" fillId="3" borderId="5" xfId="0" applyNumberFormat="1" applyFont="1" applyFill="1" applyBorder="1" applyAlignment="1">
      <x:alignment horizontal="center" vertical="center" wrapText="1"/>
    </x:xf>
    <x:xf numFmtId="0" fontId="10" fillId="8" borderId="4" xfId="0" applyNumberFormat="1" applyFont="1" applyFill="1" applyBorder="1" applyAlignment="1">
      <x:alignment horizontal="center" vertical="center" wrapText="1"/>
    </x:xf>
    <x:xf numFmtId="0" fontId="10" fillId="3" borderId="6" xfId="0" applyNumberFormat="1" applyFont="1" applyFill="1" applyBorder="1" applyAlignment="1">
      <x:alignment horizontal="center" vertical="center" wrapText="1"/>
    </x:xf>
    <x:xf numFmtId="0" fontId="10" fillId="3" borderId="2" xfId="0" applyNumberFormat="1" applyFont="1" applyFill="1" applyBorder="1" applyAlignment="1">
      <x:alignment horizontal="center" vertical="center" wrapText="1"/>
    </x:xf>
    <x:xf numFmtId="0" fontId="10" fillId="3" borderId="7" xfId="0" applyNumberFormat="1" applyFont="1" applyFill="1" applyBorder="1" applyAlignment="1">
      <x:alignment horizontal="center" vertical="center" wrapText="1"/>
    </x:xf>
    <x:xf numFmtId="0" fontId="10" fillId="8" borderId="6" xfId="0" applyNumberFormat="1" applyFont="1" applyFill="1" applyBorder="1" applyAlignment="1">
      <x:alignment horizontal="center" vertical="center" wrapText="1"/>
    </x:xf>
    <x:xf numFmtId="0" fontId="10" fillId="9" borderId="18" xfId="0" applyNumberFormat="1" applyFont="1" applyFill="1" applyBorder="1" applyAlignment="1">
      <x:alignment horizontal="center" vertical="center" wrapText="1"/>
    </x:xf>
    <x:xf numFmtId="0" fontId="10" fillId="9" borderId="19" xfId="0" applyNumberFormat="1" applyFont="1" applyFill="1" applyBorder="1" applyAlignment="1">
      <x:alignment horizontal="center" vertical="center" wrapText="1"/>
    </x:xf>
    <x:xf numFmtId="0" fontId="10" fillId="9" borderId="20" xfId="0" applyNumberFormat="1" applyFont="1" applyFill="1" applyBorder="1" applyAlignment="1">
      <x:alignment horizontal="center" vertical="center" wrapText="1"/>
    </x:xf>
    <x:xf numFmtId="0" fontId="10" fillId="7" borderId="18" xfId="0" applyNumberFormat="1" applyFont="1" applyFill="1" applyBorder="1" applyAlignment="1">
      <x:alignment horizontal="center" vertical="center" wrapText="1"/>
    </x:xf>
    <x:xf numFmtId="0" fontId="10" fillId="9" borderId="4" xfId="0" applyNumberFormat="1" applyFont="1" applyFill="1" applyBorder="1" applyAlignment="1">
      <x:alignment horizontal="center" vertical="center" wrapText="1"/>
    </x:xf>
    <x:xf numFmtId="0" fontId="10" fillId="9" borderId="5" xfId="0" applyNumberFormat="1" applyFont="1" applyFill="1" applyBorder="1" applyAlignment="1">
      <x:alignment horizontal="center" vertical="center" wrapText="1"/>
    </x:xf>
    <x:xf numFmtId="0" fontId="10" fillId="9" borderId="6" xfId="0" applyNumberFormat="1" applyFont="1" applyFill="1" applyBorder="1" applyAlignment="1">
      <x:alignment horizontal="center" vertical="center" wrapText="1"/>
    </x:xf>
    <x:xf numFmtId="0" fontId="10" fillId="9" borderId="2" xfId="0" applyNumberFormat="1" applyFont="1" applyFill="1" applyBorder="1" applyAlignment="1">
      <x:alignment horizontal="center" vertical="center" wrapText="1"/>
    </x:xf>
    <x:xf numFmtId="0" fontId="10" fillId="9" borderId="7" xfId="0" applyNumberFormat="1" applyFont="1" applyFill="1" applyBorder="1" applyAlignment="1">
      <x:alignment horizontal="center" vertical="center" wrapText="1"/>
    </x:xf>
    <x:xf numFmtId="0" fontId="10" fillId="7" borderId="6" xfId="0" applyNumberFormat="1" applyFont="1" applyFill="1" applyBorder="1" applyAlignment="1">
      <x:alignment horizontal="center" vertical="center" wrapText="1"/>
    </x:xf>
    <x:xf numFmtId="0" fontId="8" fillId="19" borderId="0" xfId="0" applyNumberFormat="1" applyFont="1" applyFill="1" applyBorder="1" applyAlignment="1">
      <x:alignment wrapText="1"/>
    </x:xf>
    <x:xf numFmtId="0" fontId="8" fillId="19" borderId="0" xfId="0" applyNumberFormat="1" applyFont="1" applyFill="1" applyBorder="1" applyAlignment="1">
      <x:alignment horizontal="left" wrapText="1"/>
    </x:xf>
    <x:xf numFmtId="0" fontId="8" fillId="19" borderId="0" xfId="0" applyNumberFormat="1" applyFont="1" applyFill="1" applyBorder="1" applyAlignment="1">
      <x:alignment horizontal="left" vertical="center" wrapText="1"/>
    </x:xf>
    <x:xf numFmtId="0" fontId="0" fillId="0" borderId="111" xfId="0" applyNumberFormat="1" applyFont="1" applyFill="1" applyBorder="1"/>
    <x:xf numFmtId="0" fontId="0" fillId="0" borderId="112" xfId="0" applyNumberFormat="1" applyFont="1" applyFill="1" applyBorder="1"/>
    <x:xf numFmtId="0" fontId="0" fillId="0" borderId="113" xfId="0" applyNumberFormat="1" applyFont="1" applyFill="1" applyBorder="1"/>
    <x:xf numFmtId="0" fontId="0" fillId="0" borderId="111" xfId="0" applyNumberFormat="1" applyFont="1" applyFill="1" applyBorder="1" applyAlignment="1">
      <x:alignment wrapText="1"/>
    </x:xf>
    <x:xf numFmtId="0" fontId="0" fillId="0" borderId="112" xfId="0" applyNumberFormat="1" applyFont="1" applyFill="1" applyBorder="1" applyAlignment="1">
      <x:alignment wrapText="1"/>
    </x:xf>
    <x:xf numFmtId="0" fontId="0" fillId="0" borderId="113" xfId="0" applyNumberFormat="1" applyFont="1" applyFill="1" applyBorder="1" applyAlignment="1">
      <x:alignment wrapText="1"/>
    </x:xf>
    <x:xf numFmtId="0" fontId="0" fillId="0" borderId="111" xfId="0" applyNumberFormat="1" applyFont="1" applyFill="1" applyBorder="1" applyAlignment="1">
      <x:alignment vertical="top" wrapText="1"/>
    </x:xf>
    <x:xf numFmtId="0" fontId="0" fillId="0" borderId="112" xfId="0" applyNumberFormat="1" applyFont="1" applyFill="1" applyBorder="1" applyAlignment="1">
      <x:alignment vertical="top" wrapText="1"/>
    </x:xf>
    <x:xf numFmtId="0" fontId="0" fillId="0" borderId="113" xfId="0" applyNumberFormat="1" applyFont="1" applyFill="1" applyBorder="1" applyAlignment="1">
      <x:alignment vertical="top" wrapText="1"/>
    </x:xf>
    <x:xf numFmtId="0" fontId="0" fillId="21" xfId="0" applyNumberFormat="1" applyFont="1" applyFill="1" applyBorder="0" applyAlignment="1">
      <x:alignment vertical="top" wrapText="1"/>
    </x:xf>
    <x:xf numFmtId="0" fontId="19" fillId="21" xfId="0" applyNumberFormat="1" applyFont="1" applyFill="1" applyBorder="0" applyAlignment="1">
      <x:alignment vertical="top" wrapText="1"/>
    </x:xf>
    <x:xf numFmtId="0" fontId="0" fillId="22" borderId="91" xfId="0" applyNumberFormat="1" applyFont="1" applyFill="1" applyBorder="1" applyAlignment="1">
      <x:alignment vertical="top" wrapText="1"/>
    </x:xf>
    <x:xf numFmtId="0" fontId="0" fillId="22" xfId="0" applyNumberFormat="1" applyFont="1" applyFill="1" applyBorder="0" applyAlignment="1">
      <x:alignment vertical="top" wrapText="1"/>
    </x:xf>
    <x:xf numFmtId="0" fontId="0" fillId="22" borderId="92" xfId="0" applyNumberFormat="1" applyFont="1" applyFill="1" applyBorder="1" applyAlignment="1">
      <x:alignment vertical="top" wrapText="1"/>
    </x:xf>
    <x:xf numFmtId="0" fontId="0" fillId="23" borderId="91" xfId="0" applyNumberFormat="1" applyFont="1" applyFill="1" applyBorder="1" applyAlignment="1">
      <x:alignment vertical="top" wrapText="1"/>
    </x:xf>
    <x:xf numFmtId="0" fontId="0" fillId="23" xfId="0" applyNumberFormat="1" applyFont="1" applyFill="1" applyBorder="0" applyAlignment="1">
      <x:alignment vertical="top" wrapText="1"/>
    </x:xf>
    <x:xf numFmtId="0" fontId="0" fillId="23" borderId="92" xfId="0" applyNumberFormat="1" applyFont="1" applyFill="1" applyBorder="1" applyAlignment="1">
      <x:alignment vertical="top" wrapText="1"/>
    </x:xf>
    <x:xf numFmtId="0" fontId="0" fillId="23" borderId="95" xfId="0" applyNumberFormat="1" applyFont="1" applyFill="1" applyBorder="1" applyAlignment="1">
      <x:alignment vertical="top" wrapText="1"/>
    </x:xf>
    <x:xf numFmtId="0" fontId="0" fillId="23" borderId="96" xfId="0" applyNumberFormat="1" applyFont="1" applyFill="1" applyBorder="1" applyAlignment="1">
      <x:alignment vertical="top" wrapText="1"/>
    </x:xf>
    <x:xf numFmtId="0" fontId="0" fillId="23" borderId="97" xfId="0" applyNumberFormat="1" applyFont="1" applyFill="1" applyBorder="1" applyAlignment="1">
      <x:alignment vertical="top" wrapText="1"/>
    </x:xf>
    <x:xf numFmtId="0" fontId="1" fillId="24" borderId="0" xfId="0" applyNumberFormat="1" applyFont="1" applyFill="1" applyBorder="1" applyAlignment="1">
      <x:alignment horizontal="left" vertical="center"/>
    </x:xf>
    <x:xf numFmtId="0" fontId="1" fillId="24" borderId="0" xfId="0" applyNumberFormat="1" applyFont="1" applyFill="1" applyBorder="1" applyAlignment="1">
      <x:alignment horizontal="left" vertical="center" wrapText="0"/>
    </x:xf>
    <x:xf numFmtId="0" fontId="2" fillId="25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0" fillId="8" borderId="0" xfId="0" applyNumberFormat="1" applyFont="1" applyFill="1" applyBorder="1" applyAlignment="1">
      <x:alignment vertical="top" wrapText="1"/>
    </x:xf>
    <x:xf numFmtId="0" fontId="13" fillId="19" borderId="0" xfId="0" applyNumberFormat="1" applyFont="1" applyFill="1" applyBorder="1" applyAlignment="1">
      <x:alignment horizontal="center" vertical="top" wrapText="1"/>
    </x:xf>
    <x:xf numFmtId="0" fontId="13" fillId="19" borderId="0" xfId="0" applyNumberFormat="1" applyFont="1" applyFill="1" applyBorder="1" applyAlignment="1">
      <x:alignment horizontal="center" vertical="center" wrapText="1"/>
    </x:xf>
    <x:xf numFmtId="0" fontId="10" fillId="7" borderId="0" xfId="0" applyNumberFormat="1" applyFont="1" applyFill="1" applyBorder="1" applyAlignment="1">
      <x:alignment horizontal="center" vertical="top" wrapText="1"/>
    </x:xf>
    <x:xf numFmtId="0" fontId="8" fillId="19" borderId="0" xfId="0" applyNumberFormat="1" applyFont="1" applyFill="1" applyBorder="1" applyAlignment="1">
      <x:alignment horizontal="center" wrapText="1"/>
    </x:xf>
    <x:xf numFmtId="0" fontId="0" fillId="22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 applyAlignment="1">
      <x:alignment vertical="top" wrapText="1"/>
    </x:xf>
    <x:xf numFmtId="0" fontId="0" fillId="18" xfId="0" applyNumberFormat="1" applyFont="1" applyFill="1" applyBorder="0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0" fillId="26" borderId="0" xfId="0" applyNumberFormat="1" applyFont="1" applyFill="1" applyBorder="1"/>
    <x:xf numFmtId="0" fontId="20" fillId="26" borderId="0" xfId="0" applyNumberFormat="1" applyFont="1" applyFill="1" applyBorder="1"/>
    <x:xf numFmtId="0" fontId="20" fillId="26" borderId="0" xfId="0" applyNumberFormat="1" applyFont="1" applyFill="1" applyBorder="1" applyAlignment="1">
      <x:alignment horizontal="left"/>
    </x:xf>
    <x:xf numFmtId="0" fontId="20" fillId="26" borderId="0" xfId="0" applyNumberFormat="1" applyFont="1" applyFill="1" applyBorder="1" applyAlignment="1">
      <x:alignment horizontal="left" vertical="center"/>
    </x:xf>
    <x:xf numFmtId="0" fontId="0" fillId="27" borderId="0" xfId="0" applyNumberFormat="1" applyFont="1" applyFill="1" applyBorder="1"/>
    <x:xf numFmtId="0" fontId="21" fillId="27" borderId="0" xfId="0" applyNumberFormat="1" applyFont="1" applyFill="1" applyBorder="1"/>
    <x:xf numFmtId="0" fontId="21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8" fillId="28" borderId="0" xfId="0" applyNumberFormat="1" applyFont="1" applyFill="1" applyBorder="1"/>
    <x:xf numFmtId="0" fontId="8" fillId="28" borderId="0" xfId="0" applyNumberFormat="1" applyFont="1" applyFill="1" applyBorder="1" applyAlignment="1">
      <x:alignment wrapText="1"/>
    </x:xf>
    <x:xf numFmtId="0" fontId="8" fillId="28" borderId="0" xfId="0" applyNumberFormat="1" applyFont="1" applyFill="1" applyBorder="1" applyAlignment="1">
      <x:alignment horizontal="center" wrapText="1"/>
    </x:xf>
    <x:xf numFmtId="0" fontId="8" fillId="28" borderId="0" xfId="0" applyNumberFormat="1" applyFont="1" applyFill="1" applyBorder="1" applyAlignment="1">
      <x:alignment horizontal="center" vertical="center" wrapText="1"/>
    </x:xf>
    <x:xf numFmtId="0" fontId="22" fillId="0" borderId="0" xfId="0" applyNumberFormat="1" applyFont="1" applyFill="1" applyBorder="1" applyAlignment="1">
      <x:alignment vertical="top" wrapText="1"/>
    </x:xf>
    <x:xf numFmtId="0" fontId="22" fillId="0" xfId="0" applyNumberFormat="1" applyFont="1" applyFill="1" applyBorder="0" applyAlignment="1">
      <x:alignment vertical="top" wrapText="1"/>
    </x:xf>
    <x:xf numFmtId="0" fontId="22" fillId="29" xfId="0" applyNumberFormat="1" applyFont="1" applyFill="1" applyBorder="0" applyAlignment="1">
      <x:alignment vertical="top" wrapText="1"/>
    </x:xf>
    <x:xf numFmtId="0" fontId="22" fillId="27" xfId="0" applyNumberFormat="1" applyFont="1" applyFill="1" applyBorder="0" applyAlignment="1">
      <x:alignment vertical="top" wrapText="1"/>
    </x:xf>
    <x:xf numFmtId="0" fontId="22" fillId="30" xfId="0" applyNumberFormat="1" applyFont="1" applyFill="1" applyBorder="0" applyAlignment="1">
      <x:alignment vertical="top" wrapText="1"/>
    </x:xf>
    <x:xf numFmtId="0" fontId="22" fillId="31" xfId="0" applyNumberFormat="1" applyFont="1" applyFill="1" applyBorder="0" applyAlignment="1">
      <x:alignment vertical="top" wrapText="1"/>
    </x:xf>
    <x:xf numFmtId="0" fontId="22" fillId="32" xfId="0" applyNumberFormat="1" applyFont="1" applyFill="1" applyBorder="0" applyAlignment="1">
      <x:alignment vertical="top" wrapText="1"/>
    </x:xf>
    <x:xf numFmtId="0" fontId="0" fillId="33" borderId="0" xfId="0" applyNumberFormat="1" applyFont="1" applyFill="1" applyBorder="1"/>
    <x:xf numFmtId="0" fontId="0" fillId="33" borderId="0" xfId="0" applyNumberFormat="1" applyFont="1" applyFill="1" applyBorder="1" applyAlignment="1">
      <x:alignment wrapText="1"/>
    </x:xf>
    <x:xf numFmtId="0" fontId="0" fillId="33" xfId="0" applyNumberFormat="1" applyFont="1" applyFill="1" applyBorder="0" applyAlignment="1">
      <x:alignment wrapText="1"/>
    </x:xf>
    <x:xf numFmtId="0" fontId="23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8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1F6B43"/>
      </x:font>
      <x:fill>
        <x:patternFill>
          <x:bgColor rgb="FFD9EAD3"/>
        </x:patternFill>
      </x:fill>
    </x:dxf>
    <x:dxf>
      <x:font>
        <x:color rgb="FF1F6B43"/>
      </x:font>
      <x:fill>
        <x:patternFill>
          <x:bgColor rgb="FFD9EAD3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color rgb="FFFFFFFF"/>
      </x:font>
      <x:fill>
        <x:patternFill>
          <x:bgColor rgb="FF2F7D4A"/>
        </x:patternFill>
      </x:fill>
    </x:dxf>
    <x:dxf>
      <x:font>
        <x:color rgb="FFFFFFFF"/>
      </x:font>
      <x:fill>
        <x:patternFill>
          <x:bgColor rgb="FF4C956C"/>
        </x:patternFill>
      </x:fill>
    </x:dxf>
    <x:dxf>
      <x:font>
        <x:color rgb="FFFFFFFF"/>
      </x:font>
      <x:fill>
        <x:patternFill>
          <x:bgColor rgb="FF68B984"/>
        </x:patternFill>
      </x:fill>
    </x:dxf>
    <x:dxf>
      <x:font>
        <x:color rgb="FFFFFFFF"/>
      </x:font>
      <x:fill>
        <x:patternFill>
          <x:bgColor rgb="FF264D73"/>
        </x:patternFill>
      </x:fill>
    </x:dxf>
    <x:dxf>
      <x:font>
        <x:color rgb="FFFFFFFF"/>
      </x:font>
      <x:fill>
        <x:patternFill>
          <x:bgColor rgb="FF3D85C6"/>
        </x:patternFill>
      </x:fill>
    </x:dxf>
    <x:dxf>
      <x:font>
        <x:color rgb="FFFFFFFF"/>
      </x:font>
      <x:fill>
        <x:patternFill>
          <x:bgColor rgb="FF7662A5"/>
        </x:patternFill>
      </x:fill>
    </x:dxf>
    <x:dxf>
      <x:font>
        <x:color rgb="FFFFFFFF"/>
      </x:font>
      <x:fill>
        <x:patternFill>
          <x:bgColor rgb="FFE3AA2E"/>
        </x:patternFill>
      </x:fill>
    </x:dxf>
    <x:dxf>
      <x:font>
        <x:color rgb="FFFFFFFF"/>
      </x:font>
      <x:fill>
        <x:patternFill>
          <x:bgColor rgb="FF8A999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6500"/>
      </x:font>
      <x:fill>
        <x:patternFill>
          <x:bgColor rgb="FFFCE5CD"/>
        </x:patternFill>
      </x:fill>
    </x:dxf>
    <x:dxf>
      <x:font>
        <x:b/>
        <x:color rgb="FF17365D"/>
      </x:font>
      <x:fill>
        <x:patternFill>
          <x:bgColor rgb="FFFFF2CC"/>
        </x:patternFill>
      </x:fill>
    </x:dxf>
    <x:dxf>
      <x:font>
        <x:b/>
        <x:color rgb="FF1F6B43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1F6B43"/>
      </x:font>
      <x:fill>
        <x:patternFill>
          <x:bgColor rgb="FFD9EAD3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F6D45"/>
      </x:font>
      <x:fill>
        <x:patternFill patternType="solid">
          <x:bgColor rgb="FFEAF4E3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F6D45"/>
      </x:font>
      <x:fill>
        <x:patternFill patternType="solid">
          <x:bgColor rgb="FFEAF4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a3a4bde262478a" /><Relationship Type="http://schemas.openxmlformats.org/officeDocument/2006/relationships/theme" Target="/xl/theme/theme1.xml" Id="R7b02b178abeb4278" /><Relationship Type="http://schemas.openxmlformats.org/officeDocument/2006/relationships/sharedStrings" Target="/xl/sharedStrings.xml" Id="Rd33ca42b9dbf4fb3" /><Relationship Type="http://schemas.openxmlformats.org/officeDocument/2006/relationships/worksheet" Target="/xl/worksheets/sheet1.xml" Id="R0b9d6c3e9cc14cdc" /><Relationship Type="http://schemas.openxmlformats.org/officeDocument/2006/relationships/worksheet" Target="/xl/worksheets/sheet2.xml" Id="R7fb9a1cc06f44d1c" /><Relationship Type="http://schemas.openxmlformats.org/officeDocument/2006/relationships/worksheet" Target="/xl/worksheets/sheet3.xml" Id="R7939ea9be3924a28" /><Relationship Type="http://schemas.openxmlformats.org/officeDocument/2006/relationships/worksheet" Target="/xl/worksheets/sheet4.xml" Id="R97ba6bc076f447fb" /><Relationship Type="http://schemas.openxmlformats.org/officeDocument/2006/relationships/worksheet" Target="/xl/worksheets/sheet5.xml" Id="R294856d7e32c420a" /><Relationship Type="http://schemas.openxmlformats.org/officeDocument/2006/relationships/worksheet" Target="/xl/worksheets/sheet6.xml" Id="Rfb5151fceed04f02" /><Relationship Type="http://schemas.openxmlformats.org/officeDocument/2006/relationships/worksheet" Target="/xl/worksheets/sheet7.xml" Id="R0bdb2961eb394486" /><Relationship Type="http://schemas.openxmlformats.org/officeDocument/2006/relationships/worksheet" Target="/xl/worksheets/sheet8.xml" Id="Rb959f630ec044a90" /><Relationship Type="http://schemas.openxmlformats.org/officeDocument/2006/relationships/worksheet" Target="/xl/worksheets/sheet9.xml" Id="R3d868b8120ec44cf" /><Relationship Type="http://schemas.openxmlformats.org/officeDocument/2006/relationships/worksheet" Target="/xl/worksheets/sheet10.xml" Id="Re0611d7ddbb4433c" /><Relationship Type="http://schemas.openxmlformats.org/officeDocument/2006/relationships/worksheet" Target="/xl/worksheets/sheet11.xml" Id="Reae58c0b114a434b" /><Relationship Type="http://schemas.openxmlformats.org/officeDocument/2006/relationships/worksheet" Target="/xl/worksheets/sheet12.xml" Id="R5bdb15c09024421b" /><Relationship Type="http://schemas.openxmlformats.org/officeDocument/2006/relationships/worksheet" Target="/xl/worksheets/sheet13.xml" Id="Rf33edb336a064fd6" /><Relationship Type="http://schemas.openxmlformats.org/officeDocument/2006/relationships/worksheet" Target="/xl/worksheets/sheet14.xml" Id="R1b4bf5f535d24c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4f2b00cc6b34a4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f4a5c72ee28496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Количество требований по доменам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Всего</c:v>
          </c:tx>
          <c:cat>
            <c:strRef>
              <c:f>'00_Паспорт'!$A$10:$A$21</c:f>
              <c:strCache>
                <c:ptCount val="0"/>
              </c:strCache>
            </c:strRef>
          </c:cat>
          <c:val>
            <c:numRef>
              <c:f>'00_Паспорт'!$B$10:$B$21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Распределение расширений по предварительному риску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Количество</c:v>
          </c:tx>
          <c:cat>
            <c:strRef>
              <c:f>'11_Расширения_1С'!$P$5:$P$8</c:f>
              <c:strCache>
                <c:ptCount val="0"/>
              </c:strCache>
            </c:strRef>
          </c:cat>
          <c:val>
            <c:numRef>
              <c:f>'11_Расширения_1С'!$Q$5:$Q$8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23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f2b00cc6b34a4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15</xdr:col>
      <xdr:colOff>0</xdr:colOff>
      <xdr:row>9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4a5c72ee28496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ssportNav" displayName="PassportNav" ref="A25:B35" headerRowCount="1" totalsRowCount="0" totalsRowShown="0">
  <x:tableColumns count="2">
    <x:tableColumn id="1" name="Лист"/>
    <x:tableColumn id="2" name="Содержа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3" name="SourcesTableV12" displayName="SourcesTableV12" ref="A4:H26" headerRowCount="1" totalsRowCount="0" totalsRowShown="0">
  <x:tableColumns count="8">
    <x:tableColumn id="1" name="ID"/>
    <x:tableColumn id="2" name="Источник"/>
    <x:tableColumn id="3" name="Дата"/>
    <x:tableColumn id="4" name="Тип"/>
    <x:tableColumn id="5" name="Статус"/>
    <x:tableColumn id="6" name="Доказательность"/>
    <x:tableColumn id="7" name="Охват"/>
    <x:tableColumn id="8" name="Расположение / ссылк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4" name="RequirementsTableV12" displayName="RequirementsTableV12" ref="A4:O189" headerRowCount="1" totalsRowCount="0" totalsRowShown="0">
  <x:tableColumns count="15">
    <x:tableColumn id="1" name="ID"/>
    <x:tableColumn id="2" name="Домен"/>
    <x:tableColumn id="3" name="Процесс"/>
    <x:tableColumn id="4" name="Требование"/>
    <x:tableColumn id="5" name="Тип"/>
    <x:tableColumn id="6" name="Источники"/>
    <x:tableColumn id="7" name="Доказательность"/>
    <x:tableColumn id="8" name="Приоритет"/>
    <x:tableColumn id="9" name="Волна / этап"/>
    <x:tableColumn id="10" name="Целевой компонент"/>
    <x:tableColumn id="11" name="Владелец"/>
    <x:tableColumn id="12" name="Критерий приёмки"/>
    <x:tableColumn id="13" name="Зависимости / решения"/>
    <x:tableColumn id="14" name="Статус"/>
    <x:tableColumn id="15" name="Backlog / tra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5" name="ProcessesTableV12" displayName="ProcessesTableV12" ref="A4:G38" headerRowCount="1" totalsRowCount="0" totalsRowShown="0">
  <x:tableColumns count="7">
    <x:tableColumn id="1" name="ID"/>
    <x:tableColumn id="2" name="Процесс"/>
    <x:tableColumn id="3" name="Владелец"/>
    <x:tableColumn id="4" name="AS-IS"/>
    <x:tableColumn id="5" name="TO-BE"/>
    <x:tableColumn id="6" name="Этап"/>
    <x:tableColumn id="7" name="Статус обследования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6" name="RisksTableV12" displayName="RisksTableV12" ref="A4:J36" headerRowCount="1" totalsRowCount="0" totalsRowShown="0">
  <x:tableColumns count="10">
    <x:tableColumn id="1" name="ID"/>
    <x:tableColumn id="2" name="Риск"/>
    <x:tableColumn id="3" name="Вероятность"/>
    <x:tableColumn id="4" name="Влияние"/>
    <x:tableColumn id="5" name="Оценка"/>
    <x:tableColumn id="6" name="Уровень"/>
    <x:tableColumn id="7" name="Приоритет"/>
    <x:tableColumn id="8" name="Владелец"/>
    <x:tableColumn id="9" name="Меры реагирования"/>
    <x:tableColumn id="10" name="Триггер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RACITable" displayName="RACITable" ref="A4:K18" headerRowCount="1" totalsRowCount="0" totalsRowShown="0">
  <x:tableColumns count="11">
    <x:tableColumn id="1" name="Область"/>
    <x:tableColumn id="2" name="Спонсор"/>
    <x:tableColumn id="3" name="Координатор"/>
    <x:tableColumn id="4" name="Собственник"/>
    <x:tableColumn id="5" name="Финдиректор"/>
    <x:tableColumn id="6" name="Категорийный блок"/>
    <x:tableColumn id="7" name="Склад/магазины"/>
    <x:tableColumn id="8" name="ИТ/архитектор"/>
    <x:tableColumn id="9" name="QA"/>
    <x:tableColumn id="10" name="BI/Data"/>
    <x:tableColumn id="11" name="Подрядчик 1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7" name="DecisionsTableV12" displayName="DecisionsTableV12" ref="A4:G50" headerRowCount="1" totalsRowCount="0" totalsRowShown="0">
  <x:tableColumns count="7">
    <x:tableColumn id="1" name="ID"/>
    <x:tableColumn id="2" name="Решение"/>
    <x:tableColumn id="3" name="Владелец"/>
    <x:tableColumn id="4" name="Срок"/>
    <x:tableColumn id="5" name="Приоритет"/>
    <x:tableColumn id="6" name="Статус"/>
    <x:tableColumn id="7" name="Влияние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8" name="TraceabilityTableV12" displayName="TraceabilityTableV12" ref="A4:G179" headerRowCount="1" totalsRowCount="0" totalsRowShown="0">
  <x:tableColumns count="7">
    <x:tableColumn id="1" name="Требование"/>
    <x:tableColumn id="2" name="Домен"/>
    <x:tableColumn id="3" name="Этап"/>
    <x:tableColumn id="4" name="Backlog"/>
    <x:tableColumn id="5" name="Способ проверки"/>
    <x:tableColumn id="6" name="Владелец"/>
    <x:tableColumn id="7" name="Стату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DevStatusTable" displayName="DevStatusTable" ref="A4:F13" headerRowCount="1" totalsRowCount="0" totalsRowShown="0">
  <x:tableColumns count="6">
    <x:tableColumn id="1" name="Работа"/>
    <x:tableColumn id="2" name="Название"/>
    <x:tableColumn id="3" name="Статус"/>
    <x:tableColumn id="4" name="PR"/>
    <x:tableColumn id="5" name="Результат"/>
    <x:tableColumn id="6" name="Следующий шаг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1" name="ExtensionsPortfolio" displayName="ExtensionsPortfolio" ref="A9:N23" headerRowCount="1" totalsRowCount="0" totalsRowShown="0">
  <x:tableColumns count="14">
    <x:tableColumn id="1" name="№"/>
    <x:tableColumn id="2" name="Расширение"/>
    <x:tableColumn id="3" name="Активно"/>
    <x:tableColumn id="4" name="Закрытый код"/>
    <x:tableColumn id="5" name="Режим совместимости"/>
    <x:tableColumn id="6" name="Исходный комментарий"/>
    <x:tableColumn id="7" name="Риск"/>
    <x:tableColumn id="8" name="Предварительная категория"/>
    <x:tableColumn id="9" name="Рекомендуемое действие"/>
    <x:tableColumn id="10" name="Ключевая зависимость"/>
    <x:tableColumn id="11" name="Собственные данные"/>
    <x:tableColumn id="12" name="Связь с архитектурой «Форус»"/>
    <x:tableColumn id="13" name="Выделено жёлтым"/>
    <x:tableColumn id="14" name="Источник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2" name="InterviewRequestsTableV12" displayName="InterviewRequestsTableV12" ref="A4:J62" headerRowCount="1" totalsRowCount="0" totalsRowShown="0">
  <x:tableColumns count="10">
    <x:tableColumn id="1" name="ID запроса"/>
    <x:tableColumn id="2" name="Роль"/>
    <x:tableColumn id="3" name="Блок"/>
    <x:tableColumn id="4" name="Запрос простыми словами"/>
    <x:tableColumn id="5" name="Проблема сейчас"/>
    <x:tableColumn id="6" name="Приоритет"/>
    <x:tableColumn id="7" name="ID требований"/>
    <x:tableColumn id="8" name="Подтверждение"/>
    <x:tableColumn id="9" name="Что сделать для проверки"/>
    <x:tableColumn id="10" name="Владеле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00f07fec64f44c3" /><Relationship Type="http://schemas.openxmlformats.org/officeDocument/2006/relationships/table" Target="/xl/tables/table1.xml" Id="R1d0ed0259fc441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c39ebcdd5a49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45514d6f5964c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adf596d7b7b49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1eed7e1a9204e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3742b32f2b74a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e8fc14ddc1f426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8b2acf25909f46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e706bdab3d48d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2.xml" Id="R9c79fffd770243c1" /><Relationship Type="http://schemas.openxmlformats.org/officeDocument/2006/relationships/table" Target="/xl/tables/table10.xml" Id="R2c3ca521dbc2456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38f21fd3846f440e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20" hidden="0" customWidth="1"/>
    <x:col min="14" max="14" width="12" hidden="0" customWidth="1"/>
  </x:cols>
  <x:sheetData>
    <x:row r="1" ht="30" customHeight="1">
      <x:c r="A1" s="1058" t="str">
        <x:v>SNAX — единый реестр исследования и проекта реализации</x:v>
      </x:c>
      <x:c r="B1" s="1058"/>
      <x:c r="C1" s="1058"/>
      <x:c r="D1" s="1058"/>
      <x:c r="E1" s="1058"/>
      <x:c r="F1" s="1058"/>
      <x:c r="G1" s="1058"/>
      <x:c r="H1" s="1058"/>
      <x:c r="I1" s="1058"/>
      <x:c r="J1" s="1058"/>
      <x:c r="K1" s="1058"/>
      <x:c r="L1" s="1058"/>
      <x:c r="M1" s="1058"/>
      <x:c r="N1" s="5"/>
    </x:row>
    <x:row r="2" ht="42" customHeight="1">
      <x:c r="A2" s="1059" t="str">
        <x:v>Версия 1.2 от 26.08.2026 · итоговая консолидация расширена интервью категорийного менеджера, блока масштабирования/розницы и операционного директора по продажам; стиль реестра упрощён для руководителя и пользователей</x:v>
      </x:c>
      <x:c r="B2" s="1059"/>
      <x:c r="C2" s="1059"/>
      <x:c r="D2" s="1059"/>
      <x:c r="E2" s="1059"/>
      <x:c r="F2" s="1059"/>
      <x:c r="G2" s="1059"/>
      <x:c r="H2" s="1059"/>
      <x:c r="I2" s="1059"/>
      <x:c r="J2" s="1059"/>
      <x:c r="K2" s="1059"/>
      <x:c r="L2" s="1059"/>
      <x:c r="M2" s="1059"/>
      <x:c r="N2" s="14"/>
    </x:row>
    <x:row r="4" ht="24" customHeight="1">
      <x:c r="A4" s="22" t="str">
        <x:v>Ключевые показатели консолидированного baseline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</x:row>
    <x:row r="5">
      <x:c r="A5" s="29" t="str">
        <x:v>Источники</x:v>
      </x:c>
      <x:c r="B5" s="29"/>
      <x:c r="C5" s="29" t="str">
        <x:v>Требования</x:v>
      </x:c>
      <x:c r="D5" s="29"/>
      <x:c r="E5" s="29" t="str">
        <x:v>P0</x:v>
      </x:c>
      <x:c r="F5" s="29"/>
      <x:c r="G5" s="29" t="str">
        <x:v>P1</x:v>
      </x:c>
      <x:c r="H5" s="29"/>
      <x:c r="I5" s="29" t="str">
        <x:v>Открытые решения</x:v>
      </x:c>
      <x:c r="J5" s="29"/>
      <x:c r="K5" s="29" t="str">
        <x:v>Риски</x:v>
      </x:c>
      <x:c r="L5" s="29"/>
      <x:c r="M5" s="29"/>
      <x:c r="N5" s="29"/>
    </x:row>
    <x:row r="6">
      <x:c r="A6" s="44" t="n">
        <x:v>22</x:v>
      </x:c>
      <x:c r="B6" s="45"/>
      <x:c r="C6" s="44" t="n">
        <x:v>185</x:v>
      </x:c>
      <x:c r="D6" s="45"/>
      <x:c r="E6" s="44" t="n">
        <x:v>113</x:v>
      </x:c>
      <x:c r="F6" s="45"/>
      <x:c r="G6" s="44" t="n">
        <x:v>61</x:v>
      </x:c>
      <x:c r="H6" s="45"/>
      <x:c r="I6" s="44" t="n">
        <x:v>46</x:v>
      </x:c>
      <x:c r="J6" s="45"/>
      <x:c r="K6" s="44" t="n">
        <x:v>32</x:v>
      </x:c>
      <x:c r="L6" s="45"/>
      <x:c r="M6" s="1092"/>
      <x:c r="N6" s="45"/>
    </x:row>
    <x:row r="7">
      <x:c r="A7" s="46"/>
      <x:c r="B7" s="47"/>
      <x:c r="C7" s="46"/>
      <x:c r="D7" s="47"/>
      <x:c r="E7" s="46"/>
      <x:c r="F7" s="47"/>
      <x:c r="G7" s="46"/>
      <x:c r="H7" s="47"/>
      <x:c r="I7" s="46"/>
      <x:c r="J7" s="47"/>
      <x:c r="K7" s="46"/>
      <x:c r="L7" s="47"/>
      <x:c r="M7" s="46"/>
      <x:c r="N7" s="47"/>
    </x:row>
    <x:row r="9" ht="24" customHeight="1">
      <x:c r="A9" s="73" t="str">
        <x:v>Домен</x:v>
      </x:c>
      <x:c r="B9" s="74" t="str">
        <x:v>Всего</x:v>
      </x:c>
      <x:c r="C9" s="74" t="str">
        <x:v>P0</x:v>
      </x:c>
      <x:c r="D9" s="74" t="str">
        <x:v>P1</x:v>
      </x:c>
      <x:c r="E9" s="75" t="str">
        <x:v>P2</x:v>
      </x:c>
      <x:c r="G9" s="157" t="str">
        <x:v>Управленческое заключение</x:v>
      </x:c>
      <x:c r="H9" s="157"/>
      <x:c r="I9" s="157"/>
      <x:c r="J9" s="157"/>
      <x:c r="K9" s="157"/>
      <x:c r="L9" s="157"/>
      <x:c r="M9" s="157"/>
      <x:c r="N9" s="157"/>
    </x:row>
    <x:row r="10">
      <x:c r="A10" s="108" t="str">
        <x:v>Управление проектом</x:v>
      </x:c>
      <x:c r="B10" s="144" t="n">
        <x:v>15</x:v>
      </x:c>
      <x:c r="C10" s="144" t="n">
        <x:v>12</x:v>
      </x:c>
      <x:c r="D10" s="144" t="n">
        <x:v>3</x:v>
      </x:c>
      <x:c r="E10" s="145" t="n">
        <x:v>0</x:v>
      </x:c>
      <x:c r="G10" s="816" t="str">
        <x:v>Управленческое заключение
Главная проблема — не отсутствие отдельных функций, а отсутствие одного надёжного сквозного процесса. Категорийный менеджер вручную соединяет продажи, остатки, цены и заказ; финансовый директор вручную обеспечивает достоверность обменов, себестоимости и P&amp;L; операционному директору нужен единый контроль заказа клиента и продаж; соучредителю — сравнимые регионы и стандарт масштабирования. Порядок работ: данные → правила и роли → пилот → отчёты → тиражирование.</x:v>
      </x:c>
      <x:c r="H10" s="817"/>
      <x:c r="I10" s="817"/>
      <x:c r="J10" s="817"/>
      <x:c r="K10" s="817"/>
      <x:c r="L10" s="817"/>
      <x:c r="M10" s="818"/>
      <x:c r="N10" s="181"/>
    </x:row>
    <x:row r="11">
      <x:c r="A11" s="111" t="str">
        <x:v>НСИ и качество данных</x:v>
      </x:c>
      <x:c r="B11" s="146" t="n">
        <x:v>14</x:v>
      </x:c>
      <x:c r="C11" s="146" t="n">
        <x:v>10</x:v>
      </x:c>
      <x:c r="D11" s="146" t="n">
        <x:v>4</x:v>
      </x:c>
      <x:c r="E11" s="147" t="n">
        <x:v>0</x:v>
      </x:c>
      <x:c r="G11" s="819"/>
      <x:c r="H11" s="820"/>
      <x:c r="I11" s="820"/>
      <x:c r="J11" s="820"/>
      <x:c r="K11" s="820"/>
      <x:c r="L11" s="820"/>
      <x:c r="M11" s="821"/>
      <x:c r="N11" s="184"/>
    </x:row>
    <x:row r="12">
      <x:c r="A12" s="111" t="str">
        <x:v>Интеграции и обмены</x:v>
      </x:c>
      <x:c r="B12" s="146" t="n">
        <x:v>14</x:v>
      </x:c>
      <x:c r="C12" s="146" t="n">
        <x:v>12</x:v>
      </x:c>
      <x:c r="D12" s="146" t="n">
        <x:v>2</x:v>
      </x:c>
      <x:c r="E12" s="147" t="n">
        <x:v>0</x:v>
      </x:c>
      <x:c r="G12" s="819"/>
      <x:c r="H12" s="820"/>
      <x:c r="I12" s="820"/>
      <x:c r="J12" s="820"/>
      <x:c r="K12" s="820"/>
      <x:c r="L12" s="820"/>
      <x:c r="M12" s="821"/>
      <x:c r="N12" s="184"/>
    </x:row>
    <x:row r="13">
      <x:c r="A13" s="111" t="str">
        <x:v>Прайсы и нормализация</x:v>
      </x:c>
      <x:c r="B13" s="146" t="n">
        <x:v>14</x:v>
      </x:c>
      <x:c r="C13" s="146" t="n">
        <x:v>11</x:v>
      </x:c>
      <x:c r="D13" s="146" t="n">
        <x:v>3</x:v>
      </x:c>
      <x:c r="E13" s="147" t="n">
        <x:v>0</x:v>
      </x:c>
      <x:c r="G13" s="819"/>
      <x:c r="H13" s="820"/>
      <x:c r="I13" s="820"/>
      <x:c r="J13" s="820"/>
      <x:c r="K13" s="820"/>
      <x:c r="L13" s="820"/>
      <x:c r="M13" s="821"/>
      <x:c r="N13" s="184"/>
    </x:row>
    <x:row r="14">
      <x:c r="A14" s="111" t="str">
        <x:v>Закупки и заказ</x:v>
      </x:c>
      <x:c r="B14" s="146" t="n">
        <x:v>13</x:v>
      </x:c>
      <x:c r="C14" s="146" t="n">
        <x:v>6</x:v>
      </x:c>
      <x:c r="D14" s="146" t="n">
        <x:v>6</x:v>
      </x:c>
      <x:c r="E14" s="147" t="n">
        <x:v>1</x:v>
      </x:c>
      <x:c r="G14" s="819"/>
      <x:c r="H14" s="820"/>
      <x:c r="I14" s="820"/>
      <x:c r="J14" s="820"/>
      <x:c r="K14" s="820"/>
      <x:c r="L14" s="820"/>
      <x:c r="M14" s="821"/>
      <x:c r="N14" s="184"/>
    </x:row>
    <x:row r="15">
      <x:c r="A15" s="111" t="str">
        <x:v>Цены и маржинальность</x:v>
      </x:c>
      <x:c r="B15" s="146" t="n">
        <x:v>11</x:v>
      </x:c>
      <x:c r="C15" s="146" t="n">
        <x:v>6</x:v>
      </x:c>
      <x:c r="D15" s="146" t="n">
        <x:v>4</x:v>
      </x:c>
      <x:c r="E15" s="147" t="n">
        <x:v>1</x:v>
      </x:c>
      <x:c r="G15" s="822"/>
      <x:c r="H15" s="823"/>
      <x:c r="I15" s="823"/>
      <x:c r="J15" s="823"/>
      <x:c r="K15" s="823"/>
      <x:c r="L15" s="823"/>
      <x:c r="M15" s="824"/>
      <x:c r="N15" s="187"/>
    </x:row>
    <x:row r="16">
      <x:c r="A16" s="111" t="str">
        <x:v>Остатки, склад и движение</x:v>
      </x:c>
      <x:c r="B16" s="146" t="n">
        <x:v>11</x:v>
      </x:c>
      <x:c r="C16" s="146" t="n">
        <x:v>5</x:v>
      </x:c>
      <x:c r="D16" s="146" t="n">
        <x:v>5</x:v>
      </x:c>
      <x:c r="E16" s="147" t="n">
        <x:v>1</x:v>
      </x:c>
      <x:c r="G16" s="831"/>
      <x:c r="H16" s="832"/>
      <x:c r="I16" s="832"/>
      <x:c r="J16" s="832"/>
      <x:c r="K16" s="832"/>
      <x:c r="L16" s="832"/>
      <x:c r="M16" s="833"/>
    </x:row>
    <x:row r="17" ht="24" customHeight="1">
      <x:c r="A17" s="111" t="str">
        <x:v>Приёмка поставок</x:v>
      </x:c>
      <x:c r="B17" s="146" t="n">
        <x:v>14</x:v>
      </x:c>
      <x:c r="C17" s="146" t="n">
        <x:v>10</x:v>
      </x:c>
      <x:c r="D17" s="146" t="n">
        <x:v>3</x:v>
      </x:c>
      <x:c r="E17" s="147" t="n">
        <x:v>1</x:v>
      </x:c>
      <x:c r="G17" s="848" t="str">
        <x:v>Текущее состояние baseline
22 источника · 185 требований · 34 процесса · 32 риска · 46 решений · 58 запросов интервью.
Выделены четыре пользовательских блока: категории/склад, финансы, масштабирование/розница и операционные продажи.
Ближайший шаг: утвердить владельцев данных и формул, факт продажи, правила заказа, границы автономии регионов, состав BI и стандарт подключения новой точки.</x:v>
      </x:c>
      <x:c r="H17" s="849"/>
      <x:c r="I17" s="849"/>
      <x:c r="J17" s="849"/>
      <x:c r="K17" s="849"/>
      <x:c r="L17" s="849"/>
      <x:c r="M17" s="850"/>
      <x:c r="N17" s="217"/>
    </x:row>
    <x:row r="18">
      <x:c r="A18" s="111" t="str">
        <x:v>Финансы и управленческий учёт</x:v>
      </x:c>
      <x:c r="B18" s="146" t="n">
        <x:v>20</x:v>
      </x:c>
      <x:c r="C18" s="146" t="n">
        <x:v>15</x:v>
      </x:c>
      <x:c r="D18" s="146" t="n">
        <x:v>5</x:v>
      </x:c>
      <x:c r="E18" s="147" t="n">
        <x:v>0</x:v>
      </x:c>
      <x:c r="G18" s="837" t="str">
        <x:v>Ближайший управленческий шаг
Зафиксировать решения G0–G2: владельцы данных и формул, факт продажи, правила заказа, границы автономии регионов, состав BI, стандарт подключения новой точки и порядок работы с 14 расширениями 1С.</x:v>
      </x:c>
      <x:c r="H18" s="240"/>
      <x:c r="I18" s="240"/>
      <x:c r="J18" s="240"/>
      <x:c r="K18" s="240"/>
      <x:c r="L18" s="240"/>
      <x:c r="M18" s="838"/>
      <x:c r="N18" s="241"/>
    </x:row>
    <x:row r="19">
      <x:c r="A19" s="111" t="str">
        <x:v>Продажи и операционное управление</x:v>
      </x:c>
      <x:c r="B19" s="146" t="n">
        <x:v>21</x:v>
      </x:c>
      <x:c r="C19" s="146" t="n">
        <x:v>3</x:v>
      </x:c>
      <x:c r="D19" s="146" t="n">
        <x:v>13</x:v>
      </x:c>
      <x:c r="E19" s="147" t="n">
        <x:v>5</x:v>
      </x:c>
      <x:c r="G19" s="839"/>
      <x:c r="H19" s="840"/>
      <x:c r="I19" s="840"/>
      <x:c r="J19" s="840"/>
      <x:c r="K19" s="840"/>
      <x:c r="L19" s="840"/>
      <x:c r="M19" s="841"/>
      <x:c r="N19" s="244"/>
    </x:row>
    <x:row r="20">
      <x:c r="A20" s="111" t="str">
        <x:v>BI и контроль качества</x:v>
      </x:c>
      <x:c r="B20" s="146" t="n">
        <x:v>8</x:v>
      </x:c>
      <x:c r="C20" s="146" t="n">
        <x:v>4</x:v>
      </x:c>
      <x:c r="D20" s="146" t="n">
        <x:v>3</x:v>
      </x:c>
      <x:c r="E20" s="147" t="n">
        <x:v>1</x:v>
      </x:c>
      <x:c r="G20" s="839"/>
      <x:c r="H20" s="840"/>
      <x:c r="I20" s="840"/>
      <x:c r="J20" s="840"/>
      <x:c r="K20" s="840"/>
      <x:c r="L20" s="840"/>
      <x:c r="M20" s="841"/>
      <x:c r="N20" s="244"/>
    </x:row>
    <x:row r="21">
      <x:c r="A21" s="114" t="str">
        <x:v>Нефункциональные требования</x:v>
      </x:c>
      <x:c r="B21" s="148" t="n">
        <x:v>15</x:v>
      </x:c>
      <x:c r="C21" s="148" t="n">
        <x:v>11</x:v>
      </x:c>
      <x:c r="D21" s="148" t="n">
        <x:v>4</x:v>
      </x:c>
      <x:c r="E21" s="149" t="n">
        <x:v>0</x:v>
      </x:c>
      <x:c r="G21" s="839"/>
      <x:c r="H21" s="840"/>
      <x:c r="I21" s="840"/>
      <x:c r="J21" s="840"/>
      <x:c r="K21" s="840"/>
      <x:c r="L21" s="840"/>
      <x:c r="M21" s="841"/>
      <x:c r="N21" s="244"/>
    </x:row>
    <x:row r="22">
      <x:c r="A22" t="str">
        <x:v>Масштабирование и розница</x:v>
      </x:c>
      <x:c r="B22" t="n">
        <x:v>14</x:v>
      </x:c>
      <x:c r="C22" t="n">
        <x:v>7</x:v>
      </x:c>
      <x:c r="D22" t="n">
        <x:v>6</x:v>
      </x:c>
      <x:c r="E22" t="n">
        <x:v>1</x:v>
      </x:c>
      <x:c r="G22" s="842"/>
      <x:c r="H22" s="843"/>
      <x:c r="I22" s="843"/>
      <x:c r="J22" s="843"/>
      <x:c r="K22" s="843"/>
      <x:c r="L22" s="843"/>
      <x:c r="M22" s="844"/>
      <x:c r="N22" s="247"/>
    </x:row>
    <x:row r="23">
      <x:c r="A23" t="str">
        <x:v>Релизы и эксплуатация</x:v>
      </x:c>
      <x:c r="B23" t="n">
        <x:v>1</x:v>
      </x:c>
      <x:c r="C23" t="n">
        <x:v>1</x:v>
      </x:c>
      <x:c r="D23" t="n">
        <x:v>0</x:v>
      </x:c>
      <x:c r="E23" t="n">
        <x:v>0</x:v>
      </x:c>
    </x:row>
    <x:row r="24">
      <x:c r="A24" s="276" t="str">
        <x:v>Навигация по книге</x:v>
      </x:c>
      <x:c r="B24" s="276"/>
      <x:c r="C24" s="276"/>
      <x:c r="D24" s="276"/>
      <x:c r="E24" s="276"/>
      <x:c r="F24" s="276"/>
      <x:c r="G24" s="276"/>
      <x:c r="H24" s="276"/>
      <x:c r="I24" s="276"/>
      <x:c r="J24" s="276"/>
      <x:c r="K24" s="276"/>
      <x:c r="L24" s="276"/>
      <x:c r="M24" s="276"/>
      <x:c r="N24" s="276"/>
    </x:row>
    <x:row r="25" ht="32" customHeight="1">
      <x:c r="A25" s="73" t="str">
        <x:v>Лист</x:v>
      </x:c>
      <x:c r="B25" s="75" t="str">
        <x:v>Содержание</x:v>
      </x:c>
    </x:row>
    <x:row r="26">
      <x:c r="A26" s="108" t="str">
        <x:v>01_Источники</x:v>
      </x:c>
      <x:c r="B26" s="110" t="str">
        <x:v>22 источника: интервью, отчёты, ТЗ, ADR, архитектура и репозиторий</x:v>
      </x:c>
    </x:row>
    <x:row r="27">
      <x:c r="A27" s="111" t="str">
        <x:v>02_Требования</x:v>
      </x:c>
      <x:c r="B27" s="113" t="str">
        <x:v>185 требований с приоритетом, источником, владельцем и критерием приёмки</x:v>
      </x:c>
    </x:row>
    <x:row r="28">
      <x:c r="A28" s="111" t="str">
        <x:v>03_Процессы</x:v>
      </x:c>
      <x:c r="B28" s="113" t="str">
        <x:v>34 сквозных процесса AS-IS → TO-BE</x:v>
      </x:c>
    </x:row>
    <x:row r="29">
      <x:c r="A29" s="111" t="str">
        <x:v>04_Архитектура</x:v>
      </x:c>
      <x:c r="B29" s="113" t="str">
        <x:v>Принятая архитектура «Форус» и границы специализированного сервиса</x:v>
      </x:c>
    </x:row>
    <x:row r="30">
      <x:c r="A30" s="111" t="str">
        <x:v>05_Дорожная_карта</x:v>
      </x:c>
      <x:c r="B30" s="113" t="str">
        <x:v>34 недели, P0–P7 и контрольные точки G0–G7</x:v>
      </x:c>
    </x:row>
    <x:row r="31">
      <x:c r="A31" s="111" t="str">
        <x:v>06_Риски</x:v>
      </x:c>
      <x:c r="B31" s="113" t="str">
        <x:v>32 риска с оценкой и мерами реагирования</x:v>
      </x:c>
    </x:row>
    <x:row r="32">
      <x:c r="A32" s="111" t="str">
        <x:v>07_RACI</x:v>
      </x:c>
      <x:c r="B32" s="113" t="str">
        <x:v>Распределение ответственности</x:v>
      </x:c>
    </x:row>
    <x:row r="33">
      <x:c r="A33" s="111" t="str">
        <x:v>08_Решения</x:v>
      </x:c>
      <x:c r="B33" s="113" t="str">
        <x:v>46 решений, требующих утверждения</x:v>
      </x:c>
    </x:row>
    <x:row r="34">
      <x:c r="A34" s="111" t="str">
        <x:v>09_Трассировка</x:v>
      </x:c>
      <x:c r="B34" s="113" t="str">
        <x:v>Связь требований с этапами, backlog и проверками</x:v>
      </x:c>
    </x:row>
    <x:row r="35">
      <x:c r="A35" s="851" t="str">
        <x:v>10_Статус_разработки</x:v>
      </x:c>
      <x:c r="B35" s="852" t="str">
        <x:v>Фактический статус WORK-001…009</x:v>
      </x:c>
    </x:row>
    <x:row r="36">
      <x:c r="A36" s="831" t="str">
        <x:v>11_Расширения_1С</x:v>
      </x:c>
      <x:c r="B36" s="833" t="str">
        <x:v>14 расширений: риски и предварительная стратегия</x:v>
      </x:c>
    </x:row>
    <x:row r="37">
      <x:c r="A37" s="831" t="str">
        <x:v>12_Архитектура_Форус</x:v>
      </x:c>
      <x:c r="B37" s="833" t="str">
        <x:v>Расшифровка старой и целевой архитектуры</x:v>
      </x:c>
    </x:row>
    <x:row r="38">
      <x:c r="A38" s="1091" t="str">
        <x:v>13_Запросы_интервью</x:v>
      </x:c>
      <x:c r="B38" s="1091" t="str">
        <x:v>58 запросов по пяти ролям в простом управленческом формате</x:v>
      </x:c>
    </x:row>
  </x:sheetData>
  <x:mergeCells>
    <x:mergeCell ref="A4:N4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L5"/>
    <x:mergeCell ref="K6:L7"/>
    <x:mergeCell ref="M5:N5"/>
    <x:mergeCell ref="M6:N7"/>
    <x:mergeCell ref="G9:N9"/>
    <x:mergeCell ref="A24:N24"/>
    <x:mergeCell ref="G10:M16"/>
    <x:mergeCell ref="G17:M22"/>
    <x:mergeCell ref="A1:M1"/>
    <x:mergeCell ref="A2:M2"/>
  </x:mergeCells>
  <x:pageMargins left="0.7" right="0.7" top="0.75" bottom="0.75" header="0.3" footer="0.3"/>
  <x:drawing xmlns:r="http://schemas.openxmlformats.org/officeDocument/2006/relationships" r:id="Rf00f07fec64f44c3"/>
  <x:tableParts count="1">
    <x:tablePart xmlns:r="http://schemas.openxmlformats.org/officeDocument/2006/relationships" r:id="R1d0ed0259fc4411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2" hidden="0" customWidth="1"/>
    <x:col min="3" max="3" width="14" hidden="0" customWidth="1"/>
    <x:col min="4" max="4" width="22" hidden="0" customWidth="1"/>
    <x:col min="5" max="5" width="18" hidden="0" customWidth="1"/>
    <x:col min="6" max="6" width="34" hidden="0" customWidth="1"/>
    <x:col min="7" max="7" width="42" hidden="0" customWidth="1"/>
    <x:col min="8" max="8" width="52" hidden="0" customWidth="1"/>
  </x:cols>
  <x:sheetData>
    <x:row r="1" ht="32" customHeight="1">
      <x:c r="A1" s="5" t="str">
        <x:v>Инвентаризация источников исследования — 22 источника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4" t="str">
        <x:v>Факты и требования разделены по уровню доказательности</x:v>
      </x:c>
      <x:c r="B2" s="14"/>
      <x:c r="C2" s="14"/>
      <x:c r="D2" s="14"/>
      <x:c r="E2" s="14"/>
      <x:c r="F2" s="14"/>
      <x:c r="G2" s="14"/>
      <x:c r="H2" s="14"/>
    </x:row>
    <x:row r="4" ht="32" customHeight="1">
      <x:c r="A4" s="73" t="str">
        <x:v>ID</x:v>
      </x:c>
      <x:c r="B4" s="74" t="str">
        <x:v>Источник</x:v>
      </x:c>
      <x:c r="C4" s="74" t="str">
        <x:v>Дата</x:v>
      </x:c>
      <x:c r="D4" s="74" t="str">
        <x:v>Тип</x:v>
      </x:c>
      <x:c r="E4" s="74" t="str">
        <x:v>Статус</x:v>
      </x:c>
      <x:c r="F4" s="74" t="str">
        <x:v>Доказательность</x:v>
      </x:c>
      <x:c r="G4" s="74" t="str">
        <x:v>Охват</x:v>
      </x:c>
      <x:c r="H4" s="75" t="str">
        <x:v>Расположение / ссылка</x:v>
      </x:c>
    </x:row>
    <x:row r="5" ht="44" customHeight="1">
      <x:c r="A5" s="108" t="str">
        <x:v>SRC-01</x:v>
      </x:c>
      <x:c r="B5" s="109" t="str">
        <x:v>Интервью с собственником: импорт, собственная и партнёрская розница</x:v>
      </x:c>
      <x:c r="C5" s="109" t="str">
        <x:v>10.08.2026</x:v>
      </x:c>
      <x:c r="D5" s="109" t="str">
        <x:v>Интервью / AS-IS</x:v>
      </x:c>
      <x:c r="E5" s="109" t="str">
        <x:v>Изучен</x:v>
      </x:c>
      <x:c r="F5" s="109" t="str">
        <x:v>Слова собственника; часть фактов требует системной проверки</x:v>
      </x:c>
      <x:c r="G5" s="109" t="str">
        <x:v>Структура группы, логистика, системы, P&amp;L, управление изменениями</x:v>
      </x:c>
      <x:c r="H5" s="110" t="str">
        <x:v>ФИТЭРА_Интервью_собственник_схемы_бизнес-процессов_AS-IS.docx</x:v>
      </x:c>
    </x:row>
    <x:row r="6" ht="44" customHeight="1">
      <x:c r="A6" s="111" t="str">
        <x:v>SRC-02</x:v>
      </x:c>
      <x:c r="B6" s="112" t="str">
        <x:v>Интервью с категорийным менеджером и заведующей складом</x:v>
      </x:c>
      <x:c r="C6" s="112" t="str">
        <x:v>11.08.2026</x:v>
      </x:c>
      <x:c r="D6" s="112" t="str">
        <x:v>Интервью / видео-верификация</x:v>
      </x:c>
      <x:c r="E6" s="112" t="str">
        <x:v>Изучен</x:v>
      </x:c>
      <x:c r="F6" s="112" t="str">
        <x:v>Экранные операции подтверждены; физический склад показан не полностью</x:v>
      </x:c>
      <x:c r="G6" s="112" t="str">
        <x:v>Категории, НСИ, остатки, продажи, закупки, цены, поставщики</x:v>
      </x:c>
      <x:c r="H6" s="113" t="str">
        <x:v>ФИТЭРА_Интервью_категорийный_менеджер_заведующая_складом_AS-IS_версия_0.5...docx</x:v>
      </x:c>
    </x:row>
    <x:row r="7" ht="44" customHeight="1">
      <x:c r="A7" s="111" t="str">
        <x:v>SRC-03</x:v>
      </x:c>
      <x:c r="B7" s="112" t="str">
        <x:v>Сводка бизнес-процессов по видеозаписи категорийного менеджера</x:v>
      </x:c>
      <x:c r="C7" s="112" t="str">
        <x:v>11–12.08.2026</x:v>
      </x:c>
      <x:c r="D7" s="112" t="str">
        <x:v>Сводка AS-IS</x:v>
      </x:c>
      <x:c r="E7" s="112" t="str">
        <x:v>Изучен</x:v>
      </x:c>
      <x:c r="F7" s="112" t="str">
        <x:v>Покадровые доказательства и таймкоды</x:v>
      </x:c>
      <x:c r="G7" s="112" t="str">
        <x:v>Карточка товара, остатки, отчёты, заказ, поставщики</x:v>
      </x:c>
      <x:c r="H7" s="113" t="str">
        <x:v>ФИТЭРА_Сводка_бизнес-процессов_по_видеозаписи_AS-IS_версия_1.0.docx</x:v>
      </x:c>
    </x:row>
    <x:row r="8" ht="44" customHeight="1">
      <x:c r="A8" s="111" t="str">
        <x:v>SRC-04</x:v>
      </x:c>
      <x:c r="B8" s="112" t="str">
        <x:v>Чек-лист договорённостей и материалов по категорийно-складскому блоку</x:v>
      </x:c>
      <x:c r="C8" s="112" t="str">
        <x:v>12.08.2026</x:v>
      </x:c>
      <x:c r="D8" s="112" t="str">
        <x:v>Чек-лист</x:v>
      </x:c>
      <x:c r="E8" s="112" t="str">
        <x:v>Изучен</x:v>
      </x:c>
      <x:c r="F8" s="112" t="str">
        <x:v>Перечень необходимых исходных материалов</x:v>
      </x:c>
      <x:c r="G8" s="112" t="str">
        <x:v>Матрицы, формулы, отчёты, справочники, контрольные кейсы</x:v>
      </x:c>
      <x:c r="H8" s="113" t="str">
        <x:v>ФИТЭРА_Чек-лист_договорённостей_и_материалов...docx</x:v>
      </x:c>
    </x:row>
    <x:row r="9" ht="44" customHeight="1">
      <x:c r="A9" s="111" t="str">
        <x:v>SRC-05</x:v>
      </x:c>
      <x:c r="B9" s="112" t="str">
        <x:v>Отчёт по интервью с финансовым директором v1.2</x:v>
      </x:c>
      <x:c r="C9" s="112" t="str">
        <x:v>12–13.08.2026</x:v>
      </x:c>
      <x:c r="D9" s="112" t="str">
        <x:v>Интервью / итоговый отчёт</x:v>
      </x:c>
      <x:c r="E9" s="112" t="str">
        <x:v>Изучен</x:v>
      </x:c>
      <x:c r="F9" s="112" t="str">
        <x:v>Видео, транскрибация, экранные доказательства; гипотезы отмечены</x:v>
      </x:c>
      <x:c r="G9" s="112" t="str">
        <x:v>Обмены, закрытие, остатки, себестоимость, P&amp;L, казначейство</x:v>
      </x:c>
      <x:c r="H9" s="113" t="str">
        <x:v>SNAK_Отчет_интервью_финансовый_директор_12-08-2026.docx</x:v>
      </x:c>
    </x:row>
    <x:row r="10" ht="44" customHeight="1">
      <x:c r="A10" s="111" t="str">
        <x:v>SRC-06</x:v>
      </x:c>
      <x:c r="B10" s="112" t="str">
        <x:v>Сводка бизнес-процессов финансового директора по видеозаписям</x:v>
      </x:c>
      <x:c r="C10" s="112" t="str">
        <x:v>12–19.08.2026</x:v>
      </x:c>
      <x:c r="D10" s="112" t="str">
        <x:v>Сводка AS-IS</x:v>
      </x:c>
      <x:c r="E10" s="112" t="str">
        <x:v>Изучен</x:v>
      </x:c>
      <x:c r="F10" s="112" t="str">
        <x:v>Экранные доказательства EV-xx</x:v>
      </x:c>
      <x:c r="G10" s="112" t="str">
        <x:v>Отрицательные остатки, P&amp;L, подразделения, себестоимость</x:v>
      </x:c>
      <x:c r="H10" s="113" t="str">
        <x:v>ФИТЭРА_Сводка_бизнес_процессов_финансового_директора_по_видеозаписям.docx</x:v>
      </x:c>
    </x:row>
    <x:row r="11" ht="44" customHeight="1">
      <x:c r="A11" s="111" t="str">
        <x:v>SRC-07</x:v>
      </x:c>
      <x:c r="B11" s="112" t="str">
        <x:v>Требования отдела продаж к доработке 1С</x:v>
      </x:c>
      <x:c r="C11" s="112" t="str">
        <x:v>19.08.2026</x:v>
      </x:c>
      <x:c r="D11" s="112" t="str">
        <x:v>Исходные пожелания</x:v>
      </x:c>
      <x:c r="E11" s="112" t="str">
        <x:v>Изучен</x:v>
      </x:c>
      <x:c r="F11" s="112" t="str">
        <x:v>Документ требований; требуется приоритизация и проверка формул</x:v>
      </x:c>
      <x:c r="G11" s="112" t="str">
        <x:v>Продажи, остатки, маржа, приходы, перемещения, списания, касса</x:v>
      </x:c>
      <x:c r="H11" s="113" t="str">
        <x:v>1С продажники (2).docx</x:v>
      </x:c>
    </x:row>
    <x:row r="12" ht="44" customHeight="1">
      <x:c r="A12" s="111" t="str">
        <x:v>SRC-08</x:v>
      </x:c>
      <x:c r="B12" s="112" t="str">
        <x:v>Требования категорийного менеджмента к доработке 1С</x:v>
      </x:c>
      <x:c r="C12" s="112" t="str">
        <x:v>19.08.2026</x:v>
      </x:c>
      <x:c r="D12" s="112" t="str">
        <x:v>Исходные пожелания</x:v>
      </x:c>
      <x:c r="E12" s="112" t="str">
        <x:v>Изучен</x:v>
      </x:c>
      <x:c r="F12" s="112" t="str">
        <x:v>Документ требований; часть подтверждена видео</x:v>
      </x:c>
      <x:c r="G12" s="112" t="str">
        <x:v>Карточка товара, цены, заказы, поставщики, матрицы, ABC/XYZ</x:v>
      </x:c>
      <x:c r="H12" s="113" t="str">
        <x:v>1С доработки ДКМ (2).docx</x:v>
      </x:c>
    </x:row>
    <x:row r="13" ht="44" customHeight="1">
      <x:c r="A13" s="111" t="str">
        <x:v>SRC-09</x:v>
      </x:c>
      <x:c r="B13" s="112" t="str">
        <x:v>Техническое задание SNAX v2.0</x:v>
      </x:c>
      <x:c r="C13" s="112" t="str">
        <x:v>17.08.2026</x:v>
      </x:c>
      <x:c r="D13" s="112" t="str">
        <x:v>ТЗ</x:v>
      </x:c>
      <x:c r="E13" s="112" t="str">
        <x:v>Baseline</x:v>
      </x:c>
      <x:c r="F13" s="112" t="str">
        <x:v>Формализованный согласовательный документ</x:v>
      </x:c>
      <x:c r="G13" s="112" t="str">
        <x:v>Нормализация файлов, сопоставление в 1С, заказ поставщику</x:v>
      </x:c>
      <x:c r="H13" s="113" t="str">
        <x:v>repo: docs/TZ.md</x:v>
      </x:c>
    </x:row>
    <x:row r="14" ht="44" customHeight="1">
      <x:c r="A14" s="111" t="str">
        <x:v>SRC-10</x:v>
      </x:c>
      <x:c r="B14" s="112" t="str">
        <x:v>Дополнение к ТЗ v2.1: автоматизация приёмки</x:v>
      </x:c>
      <x:c r="C14" s="112" t="str">
        <x:v>18.08.2026</x:v>
      </x:c>
      <x:c r="D14" s="112" t="str">
        <x:v>Дополнение к ТЗ</x:v>
      </x:c>
      <x:c r="E14" s="112" t="str">
        <x:v>Baseline</x:v>
      </x:c>
      <x:c r="F14" s="112" t="str">
        <x:v>Формализованный целевой процесс</x:v>
      </x:c>
      <x:c r="G14" s="112" t="str">
        <x:v>Receipt package, сканирование, расхождения, документы 1С</x:v>
      </x:c>
      <x:c r="H14" s="113" t="str">
        <x:v>repo: docs/TZ_ADDENDUM_RECEIVING.md</x:v>
      </x:c>
    </x:row>
    <x:row r="15" ht="44" customHeight="1">
      <x:c r="A15" s="111" t="str">
        <x:v>SRC-11</x:v>
      </x:c>
      <x:c r="B15" s="112" t="str">
        <x:v>Функционально-техническая спецификация</x:v>
      </x:c>
      <x:c r="C15" s="112" t="str">
        <x:v>17–18.08.2026</x:v>
      </x:c>
      <x:c r="D15" s="112" t="str">
        <x:v>Спецификация</x:v>
      </x:c>
      <x:c r="E15" s="112" t="str">
        <x:v>Baseline</x:v>
      </x:c>
      <x:c r="F15" s="112" t="str">
        <x:v>Технический контракт реализации</x:v>
      </x:c>
      <x:c r="G15" s="112" t="str">
        <x:v>API, доменная модель, безопасность, эксплуатация, UAT</x:v>
      </x:c>
      <x:c r="H15" s="113" t="str">
        <x:v>repo: docs/SPEC.md</x:v>
      </x:c>
    </x:row>
    <x:row r="16" ht="44" customHeight="1">
      <x:c r="A16" s="111" t="str">
        <x:v>SRC-12</x:v>
      </x:c>
      <x:c r="B16" s="112" t="str">
        <x:v>ADR-001: гибридная архитектура</x:v>
      </x:c>
      <x:c r="C16" s="112" t="str">
        <x:v>17.08.2026</x:v>
      </x:c>
      <x:c r="D16" s="112" t="str">
        <x:v>Архитектурное решение</x:v>
      </x:c>
      <x:c r="E16" s="112" t="str">
        <x:v>Принято</x:v>
      </x:c>
      <x:c r="F16" s="112" t="str">
        <x:v>Accepted baseline</x:v>
      </x:c>
      <x:c r="G16" s="112" t="str">
        <x:v>Внешний сервис нормализации + 1С:УТ как master и расчётное ядро</x:v>
      </x:c>
      <x:c r="H16" s="113" t="str">
        <x:v>repo: adr/ADR-001-hybrid-architecture.md</x:v>
      </x:c>
    </x:row>
    <x:row r="17" ht="44" customHeight="1">
      <x:c r="A17" s="111" t="str">
        <x:v>SRC-13</x:v>
      </x:c>
      <x:c r="B17" s="112" t="str">
        <x:v>ADR-002: приёмка поставки через staging 1С</x:v>
      </x:c>
      <x:c r="C17" s="112" t="str">
        <x:v>18.08.2026</x:v>
      </x:c>
      <x:c r="D17" s="112" t="str">
        <x:v>Архитектурное решение</x:v>
      </x:c>
      <x:c r="E17" s="112" t="str">
        <x:v>Принято</x:v>
      </x:c>
      <x:c r="F17" s="112" t="str">
        <x:v>Accepted baseline v2.1</x:v>
      </x:c>
      <x:c r="G17" s="112" t="str">
        <x:v>Физический факт, сканирование, исключения, типовые документы</x:v>
      </x:c>
      <x:c r="H17" s="113" t="str">
        <x:v>repo: adr/ADR-002-receiving-workflow.md</x:v>
      </x:c>
    </x:row>
    <x:row r="18" ht="44" customHeight="1">
      <x:c r="A18" s="111" t="str">
        <x:v>SRC-14</x:v>
      </x:c>
      <x:c r="B18" s="112" t="str">
        <x:v>ADR-003: очередь, outbox и worker</x:v>
      </x:c>
      <x:c r="C18" s="112" t="str">
        <x:v>18.08.2026</x:v>
      </x:c>
      <x:c r="D18" s="112" t="str">
        <x:v>Архитектурное решение</x:v>
      </x:c>
      <x:c r="E18" s="112" t="str">
        <x:v>Принято</x:v>
      </x:c>
      <x:c r="F18" s="112" t="str">
        <x:v>Принято для реализации</x:v>
      </x:c>
      <x:c r="G18" s="112" t="str">
        <x:v>PostgreSQL outbox, Redis transport, Celery, retry/DLQ</x:v>
      </x:c>
      <x:c r="H18" s="113" t="str">
        <x:v>repo: adr/ADR-003-queue-outbox-worker.md</x:v>
      </x:c>
    </x:row>
    <x:row r="19" ht="44" customHeight="1">
      <x:c r="A19" s="111" t="str">
        <x:v>SRC-15</x:v>
      </x:c>
      <x:c r="B19" s="112" t="str">
        <x:v>Implementation backlog v2.1</x:v>
      </x:c>
      <x:c r="C19" s="112" t="str">
        <x:v>18.08.2026</x:v>
      </x:c>
      <x:c r="D19" s="112" t="str">
        <x:v>Реестр технических задач</x:v>
      </x:c>
      <x:c r="E19" s="112" t="str">
        <x:v>Baseline</x:v>
      </x:c>
      <x:c r="F19" s="112" t="str">
        <x:v>TASK-000…TASK-036 с критериями приёмки</x:v>
      </x:c>
      <x:c r="G19" s="112" t="str">
        <x:v>Полный контур заказа и приёмки</x:v>
      </x:c>
      <x:c r="H19" s="113" t="str">
        <x:v>repo: tasks/IMPLEMENTATION_BACKLOG.md</x:v>
      </x:c>
    </x:row>
    <x:row r="20" ht="44" customHeight="1">
      <x:c r="A20" s="111" t="str">
        <x:v>SRC-16</x:v>
      </x:c>
      <x:c r="B20" s="112" t="str">
        <x:v>Решения, требующие утверждения заказчиком</x:v>
      </x:c>
      <x:c r="C20" s="112" t="str">
        <x:v>18.08.2026</x:v>
      </x:c>
      <x:c r="D20" s="112" t="str">
        <x:v>Decision log</x:v>
      </x:c>
      <x:c r="E20" s="112" t="str">
        <x:v>Открыт</x:v>
      </x:c>
      <x:c r="F20" s="112" t="str">
        <x:v>D-01…D-14 и решения по приёмке</x:v>
      </x:c>
      <x:c r="G20" s="112" t="str">
        <x:v>1С, пилот, цены, matching, безопасность, приёмка</x:v>
      </x:c>
      <x:c r="H20" s="113" t="str">
        <x:v>repo: DECISIONS_REQUIRED.md</x:v>
      </x:c>
    </x:row>
    <x:row r="21" ht="44" customHeight="1">
      <x:c r="A21" s="111" t="str">
        <x:v>SRC-17</x:v>
      </x:c>
      <x:c r="B21" s="112" t="str">
        <x:v>Процесс выполнения работ SNAX</x:v>
      </x:c>
      <x:c r="C21" s="112" t="str">
        <x:v>18.08.2026</x:v>
      </x:c>
      <x:c r="D21" s="112" t="str">
        <x:v>Регламент проекта</x:v>
      </x:c>
      <x:c r="E21" s="112" t="str">
        <x:v>Baseline</x:v>
      </x:c>
      <x:c r="F21" s="112" t="str">
        <x:v>WORK-NNN, ветки, PR, проверки, статусы</x:v>
      </x:c>
      <x:c r="G21" s="112" t="str">
        <x:v>Управление разработкой и приемкой</x:v>
      </x:c>
      <x:c r="H21" s="113" t="str">
        <x:v>repo: docs/WORK_PROCESS.md</x:v>
      </x:c>
    </x:row>
    <x:row r="22" ht="44" customHeight="1">
      <x:c r="A22" s="111" t="str">
        <x:v>SRC-18</x:v>
      </x:c>
      <x:c r="B22" s="112" t="str">
        <x:v>Репозиторий и архитектурные ревью WORK-001…WORK-009</x:v>
      </x:c>
      <x:c r="C22" s="112" t="str">
        <x:v>18–25.08.2026</x:v>
      </x:c>
      <x:c r="D22" s="112" t="str">
        <x:v>Результаты реализации</x:v>
      </x:c>
      <x:c r="E22" s="112" t="str">
        <x:v>Проверен</x:v>
      </x:c>
      <x:c r="F22" s="112" t="str">
        <x:v>Merged/open PR, review records и CI evidence</x:v>
      </x:c>
      <x:c r="G22" s="112" t="str">
        <x:v>Фактический технический прогресс</x:v>
      </x:c>
      <x:c r="H22" s="113" t="str">
        <x:v>repo: fitera2024-rgb/SNAX</x:v>
      </x:c>
    </x:row>
    <x:row r="23" ht="44" customHeight="1">
      <x:c r="A23" s="114" t="str">
        <x:v>SRC-19</x:v>
      </x:c>
      <x:c r="B23" s="115" t="str">
        <x:v>Презентация «Архитектура информационной системы SNAX» — Форус</x:v>
      </x:c>
      <x:c r="C23" s="115" t="str">
        <x:v>21.08.2026</x:v>
      </x:c>
      <x:c r="D23" s="115" t="str">
        <x:v>Архитектурное предложение / PPTX</x:v>
      </x:c>
      <x:c r="E23" s="115" t="str">
        <x:v>Изучен; принят заказчиком</x:v>
      </x:c>
      <x:c r="F23" s="115" t="str">
        <x:v>Первичный восстановленный файл; 6 слайдов, схемы и сравнительные таблицы</x:v>
      </x:c>
      <x:c r="G23" s="115" t="str">
        <x:v>Старая и целевая топология: единая УТ 11, центральная/региональная Розница, БП, права, НСИ, цены, запасы, отчётность</x:v>
      </x:c>
      <x:c r="H23" s="116" t="str">
        <x:v>SNAX_Архитектура_21-08_восстановлено (1).pptx</x:v>
      </x:c>
    </x:row>
    <x:row r="24">
      <x:c r="A24" t="str">
        <x:v>SRC-20</x:v>
      </x:c>
      <x:c r="B24" t="str">
        <x:v>Анализ конфигурации UT SNAX — восстановленный реестр расширений</x:v>
      </x:c>
      <x:c r="C24" t="str">
        <x:v>21.08.2026</x:v>
      </x:c>
      <x:c r="D24" t="str">
        <x:v>Технический анализ / XLSX</x:v>
      </x:c>
      <x:c r="E24" t="str">
        <x:v>Изучен частично</x:v>
      </x:c>
      <x:c r="F24" t="str">
        <x:v>Первично восстановлен лист «Расширения»; остальные листы содержат только отметку об отсутствии демонстрации</x:v>
      </x:c>
      <x:c r="G24" t="str">
        <x:v>14 расширений: активность, закрытый код, режим совместимости и комментарии по рискам/назначению</x:v>
      </x:c>
      <x:c r="H24" t="str">
        <x:v>SNAX_Анализ_конфигурации_UT_SNAX_восстановлено.xlsx</x:v>
      </x:c>
    </x:row>
    <x:row r="25">
      <x:c r="A25" s="950" t="str">
        <x:v>SRC-21</x:v>
      </x:c>
      <x:c r="B25" s="950" t="str">
        <x:v>Интервью с соучредителем: масштабирование и розница</x:v>
      </x:c>
      <x:c r="C25" s="950" t="str">
        <x:v>14.08.2026</x:v>
      </x:c>
      <x:c r="D25" s="950" t="str">
        <x:v>Интервью / рабочий протокол</x:v>
      </x:c>
      <x:c r="E25" s="950" t="str">
        <x:v>Изучен; требуется финальная верификация</x:v>
      </x:c>
      <x:c r="F25" s="950" t="str">
        <x:v>Доступный фрагмент интервью и проектные договорённости; стратегические отчёты и точки входа BI подтверждены на уровне обсуждения</x:v>
      </x:c>
      <x:c r="G25" s="950" t="str">
        <x:v>Работа на два региона, масштабирование, розница, BI, унификаторы данных, защита истории и срезы</x:v>
      </x:c>
      <x:c r="H25" s="950" t="str">
        <x:v>Материалы проекта: интервью о масштабировании и рознице от 14.08.2026</x:v>
      </x:c>
    </x:row>
    <x:row r="26">
      <x:c r="A26" s="950" t="str">
        <x:v>SRC-22</x:v>
      </x:c>
      <x:c r="B26" s="950" t="str">
        <x:v>Интервью с операционным директором: продажи</x:v>
      </x:c>
      <x:c r="C26" s="950" t="str">
        <x:v>19.08.2026</x:v>
      </x:c>
      <x:c r="D26" s="950" t="str">
        <x:v>Интервью / видео + исходные требования</x:v>
      </x:c>
      <x:c r="E26" s="950" t="str">
        <x:v>Изучен частично; требуется финальная верификация</x:v>
      </x:c>
      <x:c r="F26" s="950" t="str">
        <x:v>Запросы восстановлены по материалам встречи и документам «1С продажники»/«1С доработки ДКМ»; полный протокол видео должен быть подтверждён</x:v>
      </x:c>
      <x:c r="G26" s="950" t="str">
        <x:v>План-факт продаж, заказ клиента, резерв, отгрузка, маржа, скидки, возвраты, KPI менеджеров и исключения</x:v>
      </x:c>
      <x:c r="H26" s="950" t="str">
        <x:v>ПродажиSNAX.webm; 1С продажники (2).docx; 1С доработки ДКМ (2).docx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ac39ebcdd5a49b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24" hidden="0" customWidth="1"/>
    <x:col min="4" max="4" width="60" hidden="0" customWidth="1"/>
    <x:col min="5" max="5" width="18" hidden="0" customWidth="1"/>
    <x:col min="6" max="6" width="20" hidden="0" customWidth="1"/>
    <x:col min="7" max="7" width="30" hidden="0" customWidth="1"/>
    <x:col min="8" max="8" width="11" hidden="0" customWidth="1"/>
    <x:col min="9" max="9" width="15" hidden="0" customWidth="1"/>
    <x:col min="10" max="10" width="22" hidden="0" customWidth="1"/>
    <x:col min="11" max="11" width="24" hidden="0" customWidth="1"/>
    <x:col min="12" max="12" width="54" hidden="0" customWidth="1"/>
    <x:col min="13" max="13" width="32" hidden="0" customWidth="1"/>
    <x:col min="14" max="14" width="24" hidden="0" customWidth="1"/>
    <x:col min="15" max="15" width="24" hidden="0" customWidth="1"/>
  </x:cols>
  <x:sheetData>
    <x:row r="1" ht="32" customHeight="1">
      <x:c r="A1" s="5" t="str">
        <x:v>Консолидированный реестр требований — 185 требований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28" customHeight="1">
      <x:c r="A2" s="14" t="str">
        <x:v>Baseline из интервью, ТЗ и архитектуры; отдельные блоки включают категорийного менеджера, масштабирование и операционного директора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</x:row>
    <x:row r="4" ht="32" customHeight="1">
      <x:c r="A4" s="73" t="str">
        <x:v>ID</x:v>
      </x:c>
      <x:c r="B4" s="74" t="str">
        <x:v>Домен</x:v>
      </x:c>
      <x:c r="C4" s="74" t="str">
        <x:v>Процесс</x:v>
      </x:c>
      <x:c r="D4" s="74" t="str">
        <x:v>Требование</x:v>
      </x:c>
      <x:c r="E4" s="74" t="str">
        <x:v>Тип</x:v>
      </x:c>
      <x:c r="F4" s="74" t="str">
        <x:v>Источники</x:v>
      </x:c>
      <x:c r="G4" s="74" t="str">
        <x:v>Доказательность</x:v>
      </x:c>
      <x:c r="H4" s="74" t="str">
        <x:v>Приоритет</x:v>
      </x:c>
      <x:c r="I4" s="74" t="str">
        <x:v>Волна / этап</x:v>
      </x:c>
      <x:c r="J4" s="74" t="str">
        <x:v>Целевой компонент</x:v>
      </x:c>
      <x:c r="K4" s="74" t="str">
        <x:v>Владелец</x:v>
      </x:c>
      <x:c r="L4" s="74" t="str">
        <x:v>Критерий приёмки</x:v>
      </x:c>
      <x:c r="M4" s="74" t="str">
        <x:v>Зависимости / решения</x:v>
      </x:c>
      <x:c r="N4" s="74" t="str">
        <x:v>Статус</x:v>
      </x:c>
      <x:c r="O4" s="75" t="str">
        <x:v>Backlog / trace</x:v>
      </x:c>
    </x:row>
    <x:row r="5" ht="56" customHeight="1">
      <x:c r="A5" s="108" t="str">
        <x:v>GOV-001</x:v>
      </x:c>
      <x:c r="B5" s="109" t="str">
        <x:v>Управление проектом</x:v>
      </x:c>
      <x:c r="C5" s="109" t="str">
        <x:v>Мобилизация</x:v>
      </x:c>
      <x:c r="D5" s="109" t="str">
        <x:v>Назначить спонсора, руководителя проекта, координатора и бизнес-владельцев каждого сквозного процесса.</x:v>
      </x:c>
      <x:c r="E5" s="109" t="str">
        <x:v>Организационное</x:v>
      </x:c>
      <x:c r="F5" s="109" t="str">
        <x:v>SRC-01,SRC-17</x:v>
      </x:c>
      <x:c r="G5" s="109" t="str">
        <x:v>Подтверждено интервью и регламентом</x:v>
      </x:c>
      <x:c r="H5" s="144" t="str">
        <x:v>P0</x:v>
      </x:c>
      <x:c r="I5" s="109" t="str">
        <x:v>P0</x:v>
      </x:c>
      <x:c r="J5" s="109" t="str">
        <x:v>Управление</x:v>
      </x:c>
      <x:c r="K5" s="109" t="str">
        <x:v>Спонсор / координатор</x:v>
      </x:c>
      <x:c r="L5" s="109" t="str">
        <x:v>Утверждённый приказ/протокол с ролями, полномочиями и заместителями.</x:v>
      </x:c>
      <x:c r="M5" s="109" t="str">
        <x:v>Оргструктура и доступность владельцев</x:v>
      </x:c>
      <x:c r="N5" s="109" t="str">
        <x:v>BASELINE</x:v>
      </x:c>
      <x:c r="O5" s="110" t="str">
        <x:v>WORK_PROCESS</x:v>
      </x:c>
    </x:row>
    <x:row r="6" ht="56" customHeight="1">
      <x:c r="A6" s="111" t="str">
        <x:v>GOV-002</x:v>
      </x:c>
      <x:c r="B6" s="112" t="str">
        <x:v>Управление проектом</x:v>
      </x:c>
      <x:c r="C6" s="112" t="str">
        <x:v>Единый backlog</x:v>
      </x:c>
      <x:c r="D6" s="112" t="str">
        <x:v>Все проблемы, требования, дефекты и технические работы вести в одном реестре с ID, приоритетом, владельцем, сроком и критерием приёмки.</x:v>
      </x:c>
      <x:c r="E6" s="112" t="str">
        <x:v>Контроль</x:v>
      </x:c>
      <x:c r="F6" s="112" t="str">
        <x:v>SRC-01,SRC-05,SRC-17</x:v>
      </x:c>
      <x:c r="G6" s="112" t="str">
        <x:v>Подтверждено несколькими источниками</x:v>
      </x:c>
      <x:c r="H6" s="146" t="str">
        <x:v>P0</x:v>
      </x:c>
      <x:c r="I6" s="112" t="str">
        <x:v>P0</x:v>
      </x:c>
      <x:c r="J6" s="112" t="str">
        <x:v>Управление</x:v>
      </x:c>
      <x:c r="K6" s="112" t="str">
        <x:v>Координатор</x:v>
      </x:c>
      <x:c r="L6" s="112" t="str">
        <x:v>Нет задачи без ID, источника, владельца, статуса и acceptance criteria.</x:v>
      </x:c>
      <x:c r="M6" s="112" t="str">
        <x:v>Выбор инструмента backlog</x:v>
      </x:c>
      <x:c r="N6" s="112" t="str">
        <x:v>BASELINE</x:v>
      </x:c>
      <x:c r="O6" s="113" t="str">
        <x:v>WORK_PROCESS</x:v>
      </x:c>
    </x:row>
    <x:row r="7" ht="56" customHeight="1">
      <x:c r="A7" s="111" t="str">
        <x:v>GOV-003</x:v>
      </x:c>
      <x:c r="B7" s="112" t="str">
        <x:v>Управление проектом</x:v>
      </x:c>
      <x:c r="C7" s="112" t="str">
        <x:v>Передача активов</x:v>
      </x:c>
      <x:c r="D7" s="112" t="str">
        <x:v>Получить от прежнего подрядчика исходники, расширения 1С, документацию, backlog, акты, доступы, инструкции, резервные копии и архитектурные материалы.</x:v>
      </x:c>
      <x:c r="E7" s="112" t="str">
        <x:v>Организационное</x:v>
      </x:c>
      <x:c r="F7" s="112" t="str">
        <x:v>SRC-01,SRC-05</x:v>
      </x:c>
      <x:c r="G7" s="112" t="str">
        <x:v>Подтверждено интервью</x:v>
      </x:c>
      <x:c r="H7" s="146" t="str">
        <x:v>P0</x:v>
      </x:c>
      <x:c r="I7" s="112" t="str">
        <x:v>P0</x:v>
      </x:c>
      <x:c r="J7" s="112" t="str">
        <x:v>Управление / ИТ</x:v>
      </x:c>
      <x:c r="K7" s="112" t="str">
        <x:v>Спонсор / юрист / ИТ</x:v>
      </x:c>
      <x:c r="L7" s="112" t="str">
        <x:v>Подписан акт инвентаризации и передачи; отсутствующие активы вынесены в реестр претензий.</x:v>
      </x:c>
      <x:c r="M7" s="112" t="str">
        <x:v>Договоры и права на результаты</x:v>
      </x:c>
      <x:c r="N7" s="112" t="str">
        <x:v>BASELINE</x:v>
      </x:c>
      <x:c r="O7" s="113" t="str">
        <x:v>P0-control</x:v>
      </x:c>
    </x:row>
    <x:row r="8" ht="56" customHeight="1">
      <x:c r="A8" s="111" t="str">
        <x:v>GOV-004</x:v>
      </x:c>
      <x:c r="B8" s="112" t="str">
        <x:v>Управление проектом</x:v>
      </x:c>
      <x:c r="C8" s="112" t="str">
        <x:v>Архитектурный baseline</x:v>
      </x:c>
      <x:c r="D8" s="112" t="str">
        <x:v>Закрепить исходную архитектуру «Форус» как корпоративный baseline: единая 1С:УТ 11, две БП, центральная 1С:Розница, региональные и франчайзинговые узлы; специализированный сервис нормализации подключается только к центральной УТ через staging/API.</x:v>
      </x:c>
      <x:c r="E8" s="112" t="str">
        <x:v>Архитектурное</x:v>
      </x:c>
      <x:c r="F8" s="112" t="str">
        <x:v>SRC-12,SRC-19</x:v>
      </x:c>
      <x:c r="G8" s="112" t="str">
        <x:v>Принято заказчиком; взаимосвязь с ADR-001 требует отдельной фиксации</x:v>
      </x:c>
      <x:c r="H8" s="146" t="str">
        <x:v>P0</x:v>
      </x:c>
      <x:c r="I8" s="112" t="str">
        <x:v>P0</x:v>
      </x:c>
      <x:c r="J8" s="112" t="str">
        <x:v>Архитектура</x:v>
      </x:c>
      <x:c r="K8" s="112" t="str">
        <x:v>Архитектурный комитет</x:v>
      </x:c>
      <x:c r="L8" s="112" t="str">
        <x:v>Подписан единый архитектурный baseline/ADR с точной топологией и границами сервиса; отклонения требуют нового ADR.</x:v>
      </x:c>
      <x:c r="M8" s="112" t="str">
        <x:v>D-31</x:v>
      </x:c>
      <x:c r="N8" s="112" t="str">
        <x:v>BASELINE</x:v>
      </x:c>
      <x:c r="O8" s="113" t="str">
        <x:v>ADR-001 + ADR-004 (рекомендуется)</x:v>
      </x:c>
    </x:row>
    <x:row r="9" ht="56" customHeight="1">
      <x:c r="A9" s="111" t="str">
        <x:v>GOV-005</x:v>
      </x:c>
      <x:c r="B9" s="112" t="str">
        <x:v>Управление проектом</x:v>
      </x:c>
      <x:c r="C9" s="112" t="str">
        <x:v>Управление решениями</x:v>
      </x:c>
      <x:c r="D9" s="112" t="str">
        <x:v>Не кодировать неоднозначные бизнес-правила как скрытые допущения; вести decision log с владельцем и сроком.</x:v>
      </x:c>
      <x:c r="E9" s="112" t="str">
        <x:v>Контроль</x:v>
      </x:c>
      <x:c r="F9" s="112" t="str">
        <x:v>SRC-16,SRC-17</x:v>
      </x:c>
      <x:c r="G9" s="112" t="str">
        <x:v>Формализовано</x:v>
      </x:c>
      <x:c r="H9" s="146" t="str">
        <x:v>P0</x:v>
      </x:c>
      <x:c r="I9" s="112" t="str">
        <x:v>P0-P7</x:v>
      </x:c>
      <x:c r="J9" s="112" t="str">
        <x:v>Управление</x:v>
      </x:c>
      <x:c r="K9" s="112" t="str">
        <x:v>Координатор</x:v>
      </x:c>
      <x:c r="L9" s="112" t="str">
        <x:v>Каждое блокирующее решение имеет ID, варианты, владельца, due date и итог.</x:v>
      </x:c>
      <x:c r="M9" s="112" t="str">
        <x:v>Decision board</x:v>
      </x:c>
      <x:c r="N9" s="112" t="str">
        <x:v>BASELINE</x:v>
      </x:c>
      <x:c r="O9" s="113" t="str">
        <x:v>DECISIONS_REQUIRED</x:v>
      </x:c>
    </x:row>
    <x:row r="10" ht="56" customHeight="1">
      <x:c r="A10" s="111" t="str">
        <x:v>GOV-006</x:v>
      </x:c>
      <x:c r="B10" s="112" t="str">
        <x:v>Управление проектом</x:v>
      </x:c>
      <x:c r="C10" s="112" t="str">
        <x:v>Управление изменениями</x:v>
      </x:c>
      <x:c r="D10" s="112" t="str">
        <x:v>Одна работа WORK-NNN — один scope, ветка и PR; несвязанные изменения запрещены.</x:v>
      </x:c>
      <x:c r="E10" s="112" t="str">
        <x:v>Нефункциональное</x:v>
      </x:c>
      <x:c r="F10" s="112" t="str">
        <x:v>SRC-17</x:v>
      </x:c>
      <x:c r="G10" s="112" t="str">
        <x:v>Формализовано</x:v>
      </x:c>
      <x:c r="H10" s="146" t="str">
        <x:v>P1</x:v>
      </x:c>
      <x:c r="I10" s="112" t="str">
        <x:v>P3-P7</x:v>
      </x:c>
      <x:c r="J10" s="112" t="str">
        <x:v>DevOps / GitHub</x:v>
      </x:c>
      <x:c r="K10" s="112" t="str">
        <x:v>Технический лидер</x:v>
      </x:c>
      <x:c r="L10" s="112" t="str">
        <x:v>В PR есть task card, проверки, риски и ссылка на issue; CI зелёный до merge.</x:v>
      </x:c>
      <x:c r="M10" s="112" t="str">
        <x:v>Доступность CI</x:v>
      </x:c>
      <x:c r="N10" s="112" t="str">
        <x:v>BASELINE</x:v>
      </x:c>
      <x:c r="O10" s="113" t="str">
        <x:v>WORK_PROCESS</x:v>
      </x:c>
    </x:row>
    <x:row r="11" ht="56" customHeight="1">
      <x:c r="A11" s="111" t="str">
        <x:v>GOV-007</x:v>
      </x:c>
      <x:c r="B11" s="112" t="str">
        <x:v>Управление проектом</x:v>
      </x:c>
      <x:c r="C11" s="112" t="str">
        <x:v>Резервное копирование перед релизом</x:v>
      </x:c>
      <x:c r="D11" s="112" t="str">
        <x:v>Каждая массовая обработка, перепроведение или релиз 1С выполняется после backup и с проверенным rollback.</x:v>
      </x:c>
      <x:c r="E11" s="112" t="str">
        <x:v>Контроль</x:v>
      </x:c>
      <x:c r="F11" s="112" t="str">
        <x:v>SRC-01,SRC-05</x:v>
      </x:c>
      <x:c r="G11" s="112" t="str">
        <x:v>Подтверждено интервью</x:v>
      </x:c>
      <x:c r="H11" s="146" t="str">
        <x:v>P0</x:v>
      </x:c>
      <x:c r="I11" s="112" t="str">
        <x:v>P1-P7</x:v>
      </x:c>
      <x:c r="J11" s="112" t="str">
        <x:v>1С / эксплуатация</x:v>
      </x:c>
      <x:c r="K11" s="112" t="str">
        <x:v>Владелец 1С</x:v>
      </x:c>
      <x:c r="L11" s="112" t="str">
        <x:v>Протокол backup/restore и rollback приложен к релизу; тест восстановления выполнен.</x:v>
      </x:c>
      <x:c r="M11" s="112" t="str">
        <x:v>Тестовая копия</x:v>
      </x:c>
      <x:c r="N11" s="112" t="str">
        <x:v>BASELINE</x:v>
      </x:c>
      <x:c r="O11" s="113" t="str">
        <x:v>TASK-024,TASK-025</x:v>
      </x:c>
    </x:row>
    <x:row r="12" ht="56" customHeight="1">
      <x:c r="A12" s="111" t="str">
        <x:v>GOV-008</x:v>
      </x:c>
      <x:c r="B12" s="112" t="str">
        <x:v>Управление проектом</x:v>
      </x:c>
      <x:c r="C12" s="112" t="str">
        <x:v>Контуры</x:v>
      </x:c>
      <x:c r="D12" s="112" t="str">
        <x:v>Разделить разработку, тестирование/UAT и промышленную эксплуатацию; запретить прямую разработку в боевой базе.</x:v>
      </x:c>
      <x:c r="E12" s="112" t="str">
        <x:v>Нефункциональное</x:v>
      </x:c>
      <x:c r="F12" s="112" t="str">
        <x:v>SRC-01,SRC-11</x:v>
      </x:c>
      <x:c r="G12" s="112" t="str">
        <x:v>Формализовано</x:v>
      </x:c>
      <x:c r="H12" s="146" t="str">
        <x:v>P0</x:v>
      </x:c>
      <x:c r="I12" s="112" t="str">
        <x:v>P0-P7</x:v>
      </x:c>
      <x:c r="J12" s="112" t="str">
        <x:v>1С / сервис</x:v>
      </x:c>
      <x:c r="K12" s="112" t="str">
        <x:v>Технический лидер</x:v>
      </x:c>
      <x:c r="L12" s="112" t="str">
        <x:v>Есть DEV/TEST/PROD или эквивалент, регламент переноса и журнал релизов.</x:v>
      </x:c>
      <x:c r="M12" s="112" t="str">
        <x:v>Инфраструктура</x:v>
      </x:c>
      <x:c r="N12" s="112" t="str">
        <x:v>BASELINE</x:v>
      </x:c>
      <x:c r="O12" s="113" t="str">
        <x:v>TASK-024</x:v>
      </x:c>
    </x:row>
    <x:row r="13" ht="56" customHeight="1">
      <x:c r="A13" s="111" t="str">
        <x:v>GOV-009</x:v>
      </x:c>
      <x:c r="B13" s="112" t="str">
        <x:v>Управление проектом</x:v>
      </x:c>
      <x:c r="C13" s="112" t="str">
        <x:v>Приёмка</x:v>
      </x:c>
      <x:c r="D13" s="112" t="str">
        <x:v>Каждая доработка должна приниматься на реальном сценарии, конкретном магазине/дне/поставщике и иметь измеримый ожидаемый результат.</x:v>
      </x:c>
      <x:c r="E13" s="112" t="str">
        <x:v>Контроль</x:v>
      </x:c>
      <x:c r="F13" s="112" t="str">
        <x:v>SRC-01,SRC-05,SRC-09</x:v>
      </x:c>
      <x:c r="G13" s="112" t="str">
        <x:v>Подтверждено</x:v>
      </x:c>
      <x:c r="H13" s="146" t="str">
        <x:v>P0</x:v>
      </x:c>
      <x:c r="I13" s="112" t="str">
        <x:v>P1-P7</x:v>
      </x:c>
      <x:c r="J13" s="112" t="str">
        <x:v>UAT</x:v>
      </x:c>
      <x:c r="K13" s="112" t="str">
        <x:v>Бизнес-владелец</x:v>
      </x:c>
      <x:c r="L13" s="112" t="str">
        <x:v>Подписанный UAT-протокол содержит входные данные, шаги, ожидаемый и фактический результат.</x:v>
      </x:c>
      <x:c r="M13" s="112" t="str">
        <x:v>Golden/UAT данные</x:v>
      </x:c>
      <x:c r="N13" s="112" t="str">
        <x:v>BASELINE</x:v>
      </x:c>
      <x:c r="O13" s="113" t="str">
        <x:v>TASK-025,TASK-035</x:v>
      </x:c>
    </x:row>
    <x:row r="14" ht="56" customHeight="1">
      <x:c r="A14" s="111" t="str">
        <x:v>GOV-010</x:v>
      </x:c>
      <x:c r="B14" s="112" t="str">
        <x:v>Управление проектом</x:v>
      </x:c>
      <x:c r="C14" s="112" t="str">
        <x:v>Управление объёмом</x:v>
      </x:c>
      <x:c r="D14" s="112" t="str">
        <x:v>До стабилизации данных не начинать крупную замену 1С, казначейства или окончательных BI-форм.</x:v>
      </x:c>
      <x:c r="E14" s="112" t="str">
        <x:v>Ограничение</x:v>
      </x:c>
      <x:c r="F14" s="112" t="str">
        <x:v>SRC-01,SRC-05</x:v>
      </x:c>
      <x:c r="G14" s="112" t="str">
        <x:v>Подтверждено интервью</x:v>
      </x:c>
      <x:c r="H14" s="146" t="str">
        <x:v>P0</x:v>
      </x:c>
      <x:c r="I14" s="112" t="str">
        <x:v>P0-P2</x:v>
      </x:c>
      <x:c r="J14" s="112" t="str">
        <x:v>Управление</x:v>
      </x:c>
      <x:c r="K14" s="112" t="str">
        <x:v>Спонсор</x:v>
      </x:c>
      <x:c r="L14" s="112" t="str">
        <x:v>Новые инициативы проходят архитектурную оценку и не нарушают P0/P1.</x:v>
      </x:c>
      <x:c r="M14" s="112" t="str">
        <x:v>Решение спонсора</x:v>
      </x:c>
      <x:c r="N14" s="112" t="str">
        <x:v>BASELINE</x:v>
      </x:c>
      <x:c r="O14" s="113" t="str">
        <x:v>Scope governance</x:v>
      </x:c>
    </x:row>
    <x:row r="15" ht="56" customHeight="1">
      <x:c r="A15" s="111" t="str">
        <x:v>GOV-011</x:v>
      </x:c>
      <x:c r="B15" s="112" t="str">
        <x:v>Управление проектом</x:v>
      </x:c>
      <x:c r="C15" s="112" t="str">
        <x:v>Коммуникации</x:v>
      </x:c>
      <x:c r="D15" s="112" t="str">
        <x:v>Проводить еженедельный steering, рабочий статус по потокам и ежемесячную демонстрацию результата бизнесу.</x:v>
      </x:c>
      <x:c r="E15" s="112" t="str">
        <x:v>Организационное</x:v>
      </x:c>
      <x:c r="F15" s="112" t="str">
        <x:v>SRC-01,SRC-17</x:v>
      </x:c>
      <x:c r="G15" s="112" t="str">
        <x:v>Вывод исследования</x:v>
      </x:c>
      <x:c r="H15" s="146" t="str">
        <x:v>P1</x:v>
      </x:c>
      <x:c r="I15" s="112" t="str">
        <x:v>P0-P7</x:v>
      </x:c>
      <x:c r="J15" s="112" t="str">
        <x:v>Управление</x:v>
      </x:c>
      <x:c r="K15" s="112" t="str">
        <x:v>Координатор</x:v>
      </x:c>
      <x:c r="L15" s="112" t="str">
        <x:v>Протоколы содержат решения, блокеры, изменения сроков и следующие действия.</x:v>
      </x:c>
      <x:c r="M15" s="112" t="str">
        <x:v>Календарь участников</x:v>
      </x:c>
      <x:c r="N15" s="112" t="str">
        <x:v>BASELINE</x:v>
      </x:c>
      <x:c r="O15" s="113" t="str">
        <x:v>WORK_PROCESS</x:v>
      </x:c>
    </x:row>
    <x:row r="16" ht="56" customHeight="1">
      <x:c r="A16" s="111" t="str">
        <x:v>GOV-012</x:v>
      </x:c>
      <x:c r="B16" s="112" t="str">
        <x:v>Управление проектом</x:v>
      </x:c>
      <x:c r="C16" s="112" t="str">
        <x:v>Измерение эффекта</x:v>
      </x:c>
      <x:c r="D16" s="112" t="str">
        <x:v>Для каждого потока зафиксировать baseline трудозатрат/ошибок и целевые KPI: время заказа, доля исключений, ошибки обмена, срок закрытия, точность остатков.</x:v>
      </x:c>
      <x:c r="E16" s="112" t="str">
        <x:v>Бизнес</x:v>
      </x:c>
      <x:c r="F16" s="112" t="str">
        <x:v>SRC-01,SRC-05,SRC-09</x:v>
      </x:c>
      <x:c r="G16" s="112" t="str">
        <x:v>Синтез требований</x:v>
      </x:c>
      <x:c r="H16" s="146" t="str">
        <x:v>P1</x:v>
      </x:c>
      <x:c r="I16" s="112" t="str">
        <x:v>P0-P7</x:v>
      </x:c>
      <x:c r="J16" s="112" t="str">
        <x:v>Управление / BI</x:v>
      </x:c>
      <x:c r="K16" s="112" t="str">
        <x:v>Владельцы процессов</x:v>
      </x:c>
      <x:c r="L16" s="112" t="str">
        <x:v>KPI имеют формулу, источник, периодичность, владельца и целевое значение.</x:v>
      </x:c>
      <x:c r="M16" s="112" t="str">
        <x:v>Методология KPI</x:v>
      </x:c>
      <x:c r="N16" s="112" t="str">
        <x:v>BASELINE</x:v>
      </x:c>
      <x:c r="O16" s="113" t="str">
        <x:v>TASK-024</x:v>
      </x:c>
    </x:row>
    <x:row r="17" ht="56" customHeight="1">
      <x:c r="A17" s="111" t="str">
        <x:v>MDM-001</x:v>
      </x:c>
      <x:c r="B17" s="112" t="str">
        <x:v>НСИ и качество данных</x:v>
      </x:c>
      <x:c r="C17" s="112" t="str">
        <x:v>Оргструктура и аналитики</x:v>
      </x:c>
      <x:c r="D17" s="112" t="str">
        <x:v>Создать единую таблицу соответствий магазин — подразделение — склад — касса — организация — регион — руководитель.</x:v>
      </x:c>
      <x:c r="E17" s="112" t="str">
        <x:v>Данные</x:v>
      </x:c>
      <x:c r="F17" s="112" t="str">
        <x:v>SRC-05,SRC-06</x:v>
      </x:c>
      <x:c r="G17" s="112" t="str">
        <x:v>Экранно подтверждён разрыв</x:v>
      </x:c>
      <x:c r="H17" s="146" t="str">
        <x:v>P0</x:v>
      </x:c>
      <x:c r="I17" s="112" t="str">
        <x:v>P1-P2</x:v>
      </x:c>
      <x:c r="J17" s="112" t="str">
        <x:v>1С / НСИ</x:v>
      </x:c>
      <x:c r="K17" s="112" t="str">
        <x:v>ИТ + финансы + розница</x:v>
      </x:c>
      <x:c r="L17" s="112" t="str">
        <x:v>Нет неоднозначных объектов; один документ проходит все базы с одинаковыми аналитиками.</x:v>
      </x:c>
      <x:c r="M17" s="112" t="str">
        <x:v>Доступы к базам</x:v>
      </x:c>
      <x:c r="N17" s="112" t="str">
        <x:v>BASELINE</x:v>
      </x:c>
      <x:c r="O17" s="113" t="str">
        <x:v>MDM-wave</x:v>
      </x:c>
    </x:row>
    <x:row r="18" ht="56" customHeight="1">
      <x:c r="A18" s="111" t="str">
        <x:v>MDM-002</x:v>
      </x:c>
      <x:c r="B18" s="112" t="str">
        <x:v>НСИ и качество данных</x:v>
      </x:c>
      <x:c r="C18" s="112" t="str">
        <x:v>Справочник объектов</x:v>
      </x:c>
      <x:c r="D18" s="112" t="str">
        <x:v>Зафиксировать полный поимённый перечень юридических лиц, брендов, магазинов, РЦ, региональных складов и статусов подключения.</x:v>
      </x:c>
      <x:c r="E18" s="112" t="str">
        <x:v>Данные</x:v>
      </x:c>
      <x:c r="F18" s="112" t="str">
        <x:v>SRC-01,SRC-04</x:v>
      </x:c>
      <x:c r="G18" s="112" t="str">
        <x:v>Требует документального подтверждения</x:v>
      </x:c>
      <x:c r="H18" s="146" t="str">
        <x:v>P0</x:v>
      </x:c>
      <x:c r="I18" s="112" t="str">
        <x:v>P0-P2</x:v>
      </x:c>
      <x:c r="J18" s="112" t="str">
        <x:v>НСИ</x:v>
      </x:c>
      <x:c r="K18" s="112" t="str">
        <x:v>Координатор + финансы</x:v>
      </x:c>
      <x:c r="L18" s="112" t="str">
        <x:v>Реестр утверждён владельцами и содержит уникальные коды и статусы.</x:v>
      </x:c>
      <x:c r="M18" s="112" t="str">
        <x:v>Оргдокументы</x:v>
      </x:c>
      <x:c r="N18" s="112" t="str">
        <x:v>ТРЕБУЕТ ВЕРИФИКАЦИИ</x:v>
      </x:c>
      <x:c r="O18" s="113" t="str">
        <x:v>D-01</x:v>
      </x:c>
    </x:row>
    <x:row r="19" ht="56" customHeight="1">
      <x:c r="A19" s="111" t="str">
        <x:v>MDM-003</x:v>
      </x:c>
      <x:c r="B19" s="112" t="str">
        <x:v>НСИ и качество данных</x:v>
      </x:c>
      <x:c r="C19" s="112" t="str">
        <x:v>Номенклатура</x:v>
      </x:c>
      <x:c r="D19" s="112" t="str">
        <x:v>1С остаётся единственным master внутренних товаров и GUID; внешний сервис не создаёт собственный master.</x:v>
      </x:c>
      <x:c r="E19" s="112" t="str">
        <x:v>Архитектурное</x:v>
      </x:c>
      <x:c r="F19" s="112" t="str">
        <x:v>SRC-09,SRC-12</x:v>
      </x:c>
      <x:c r="G19" s="112" t="str">
        <x:v>Принято</x:v>
      </x:c>
      <x:c r="H19" s="146" t="str">
        <x:v>P0</x:v>
      </x:c>
      <x:c r="I19" s="112" t="str">
        <x:v>P3-P7</x:v>
      </x:c>
      <x:c r="J19" s="112" t="str">
        <x:v>1С:УТ</x:v>
      </x:c>
      <x:c r="K19" s="112" t="str">
        <x:v>Владелец 1С</x:v>
      </x:c>
      <x:c r="L19" s="112" t="str">
        <x:v>Все пакеты ссылаются на GUID/статус 1С; расхождение решается в 1С.</x:v>
      </x:c>
      <x:c r="M19" s="112" t="str">
        <x:v>ADR-001</x:v>
      </x:c>
      <x:c r="N19" s="112" t="str">
        <x:v>BASELINE</x:v>
      </x:c>
      <x:c r="O19" s="113" t="str">
        <x:v>TASK-019,TASK-021</x:v>
      </x:c>
    </x:row>
    <x:row r="20" ht="56" customHeight="1">
      <x:c r="A20" s="111" t="str">
        <x:v>MDM-004</x:v>
      </x:c>
      <x:c r="B20" s="112" t="str">
        <x:v>НСИ и качество данных</x:v>
      </x:c>
      <x:c r="C20" s="112" t="str">
        <x:v>Классификатор SKU</x:v>
      </x:c>
      <x:c r="D20" s="112" t="str">
        <x:v>Утвердить иерархию категорий, обязательные атрибуты SKU, владельца уровня и правила добавления/изменения.</x:v>
      </x:c>
      <x:c r="E20" s="112" t="str">
        <x:v>Методология</x:v>
      </x:c>
      <x:c r="F20" s="112" t="str">
        <x:v>SRC-02,SRC-04,SRC-08</x:v>
      </x:c>
      <x:c r="G20" s="112" t="str">
        <x:v>Частично подтверждено, формулы не утверждены</x:v>
      </x:c>
      <x:c r="H20" s="146" t="str">
        <x:v>P1</x:v>
      </x:c>
      <x:c r="I20" s="112" t="str">
        <x:v>P2</x:v>
      </x:c>
      <x:c r="J20" s="112" t="str">
        <x:v>1С / НСИ</x:v>
      </x:c>
      <x:c r="K20" s="112" t="str">
        <x:v>Категорийный менеджмент</x:v>
      </x:c>
      <x:c r="L20" s="112" t="str">
        <x:v>Есть версия классификатора, матрица обязательности и workflow изменения.</x:v>
      </x:c>
      <x:c r="M20" s="112" t="str">
        <x:v>Бизнес-владелец НСИ</x:v>
      </x:c>
      <x:c r="N20" s="112" t="str">
        <x:v>BASELINE</x:v>
      </x:c>
      <x:c r="O20" s="113" t="str">
        <x:v>TASK-021</x:v>
      </x:c>
    </x:row>
    <x:row r="21" ht="56" customHeight="1">
      <x:c r="A21" s="111" t="str">
        <x:v>MDM-005</x:v>
      </x:c>
      <x:c r="B21" s="112" t="str">
        <x:v>НСИ и качество данных</x:v>
      </x:c>
      <x:c r="C21" s="112" t="str">
        <x:v>Штрихкоды и GTIN</x:v>
      </x:c>
      <x:c r="D21" s="112" t="str">
        <x:v>Хранить GTIN строкой с ведущими нулями; не считать его глобально уникальным ключом; учитывать упаковку и поставщика.</x:v>
      </x:c>
      <x:c r="E21" s="112" t="str">
        <x:v>Данные</x:v>
      </x:c>
      <x:c r="F21" s="112" t="str">
        <x:v>SRC-09,SRC-11</x:v>
      </x:c>
      <x:c r="G21" s="112" t="str">
        <x:v>Формализовано по анализу файлов</x:v>
      </x:c>
      <x:c r="H21" s="146" t="str">
        <x:v>P0</x:v>
      </x:c>
      <x:c r="I21" s="112" t="str">
        <x:v>P3-P4</x:v>
      </x:c>
      <x:c r="J21" s="112" t="str">
        <x:v>Сервис + 1С</x:v>
      </x:c>
      <x:c r="K21" s="112" t="str">
        <x:v>Технический лидер / КМ</x:v>
      </x:c>
      <x:c r="L21" s="112" t="str">
        <x:v>Контракт не преобразует GTIN в число; ambiguous GTIN не связывается автоматически.</x:v>
      </x:c>
      <x:c r="M21" s="112" t="str">
        <x:v>Профили и упаковки</x:v>
      </x:c>
      <x:c r="N21" s="112" t="str">
        <x:v>BASELINE</x:v>
      </x:c>
      <x:c r="O21" s="113" t="str">
        <x:v>TASK-013,TASK-021</x:v>
      </x:c>
    </x:row>
    <x:row r="22" ht="56" customHeight="1">
      <x:c r="A22" s="111" t="str">
        <x:v>MDM-006</x:v>
      </x:c>
      <x:c r="B22" s="112" t="str">
        <x:v>НСИ и качество данных</x:v>
      </x:c>
      <x:c r="C22" s="112" t="str">
        <x:v>Упаковки</x:v>
      </x:c>
      <x:c r="D22" s="112" t="str">
        <x:v>Утвердить единицы заказа, коэффициенты штука/блок/короб/палета, MOQ и кратность по поставщику.</x:v>
      </x:c>
      <x:c r="E22" s="112" t="str">
        <x:v>Методология</x:v>
      </x:c>
      <x:c r="F22" s="112" t="str">
        <x:v>SRC-08,SRC-09,SRC-16</x:v>
      </x:c>
      <x:c r="G22" s="112" t="str">
        <x:v>Требует решения заказчика</x:v>
      </x:c>
      <x:c r="H22" s="146" t="str">
        <x:v>P0</x:v>
      </x:c>
      <x:c r="I22" s="112" t="str">
        <x:v>P2-P4</x:v>
      </x:c>
      <x:c r="J22" s="112" t="str">
        <x:v>1С / НСИ</x:v>
      </x:c>
      <x:c r="K22" s="112" t="str">
        <x:v>КМ + закупки</x:v>
      </x:c>
      <x:c r="L22" s="112" t="str">
        <x:v>Для каждого пилотного поставщика есть проверенная упаковочная иерархия и примеры расчёта.</x:v>
      </x:c>
      <x:c r="M22" s="112" t="str">
        <x:v>D-03</x:v>
      </x:c>
      <x:c r="N22" s="112" t="str">
        <x:v>ОТКРЫТОЕ РЕШЕНИЕ</x:v>
      </x:c>
      <x:c r="O22" s="113" t="str">
        <x:v>D-03,TASK-023</x:v>
      </x:c>
    </x:row>
    <x:row r="23" ht="56" customHeight="1">
      <x:c r="A23" s="111" t="str">
        <x:v>MDM-007</x:v>
      </x:c>
      <x:c r="B23" s="112" t="str">
        <x:v>НСИ и качество данных</x:v>
      </x:c>
      <x:c r="C23" s="112" t="str">
        <x:v>Поставщики и договоры</x:v>
      </x:c>
      <x:c r="D23" s="112" t="str">
        <x:v>Синхронизировать поставщиков, договоры, организации и основные подразделения между базами; исключить «не удалось найти».</x:v>
      </x:c>
      <x:c r="E23" s="112" t="str">
        <x:v>Данные</x:v>
      </x:c>
      <x:c r="F23" s="112" t="str">
        <x:v>SRC-05,SRC-06</x:v>
      </x:c>
      <x:c r="G23" s="112" t="str">
        <x:v>Экранно подтверждено</x:v>
      </x:c>
      <x:c r="H23" s="146" t="str">
        <x:v>P0</x:v>
      </x:c>
      <x:c r="I23" s="112" t="str">
        <x:v>P1-P2</x:v>
      </x:c>
      <x:c r="J23" s="112" t="str">
        <x:v>1С / интеграция</x:v>
      </x:c>
      <x:c r="K23" s="112" t="str">
        <x:v>ИТ + бухгалтерия</x:v>
      </x:c>
      <x:c r="L23" s="112" t="str">
        <x:v>Контрольный импорт не содержит ошибок поиска справочников; документы проводятся.</x:v>
      </x:c>
      <x:c r="M23" s="112" t="str">
        <x:v>Таблицы соответствий</x:v>
      </x:c>
      <x:c r="N23" s="112" t="str">
        <x:v>BASELINE</x:v>
      </x:c>
      <x:c r="O23" s="113" t="str">
        <x:v>P1-exchange</x:v>
      </x:c>
    </x:row>
    <x:row r="24" ht="56" customHeight="1">
      <x:c r="A24" s="111" t="str">
        <x:v>MDM-008</x:v>
      </x:c>
      <x:c r="B24" s="112" t="str">
        <x:v>НСИ и качество данных</x:v>
      </x:c>
      <x:c r="C24" s="112" t="str">
        <x:v>Сохранённые связи</x:v>
      </x:c>
      <x:c r="D24" s="112" t="str">
        <x:v>Подтверждённые соответствия «позиция поставщика — номенклатура 1С — упаковка» хранить версионно и переиспользовать.</x:v>
      </x:c>
      <x:c r="E24" s="112" t="str">
        <x:v>Функциональное</x:v>
      </x:c>
      <x:c r="F24" s="112" t="str">
        <x:v>SRC-09,SRC-12</x:v>
      </x:c>
      <x:c r="G24" s="112" t="str">
        <x:v>Принято</x:v>
      </x:c>
      <x:c r="H24" s="146" t="str">
        <x:v>P0</x:v>
      </x:c>
      <x:c r="I24" s="112" t="str">
        <x:v>P4-P5</x:v>
      </x:c>
      <x:c r="J24" s="112" t="str">
        <x:v>1С:УТ</x:v>
      </x:c>
      <x:c r="K24" s="112" t="str">
        <x:v>Категорийный менеджер</x:v>
      </x:c>
      <x:c r="L24" s="112" t="str">
        <x:v>Повторный файл автоматически восстанавливает утверждённую связь; история доступна.</x:v>
      </x:c>
      <x:c r="M24" s="112" t="str">
        <x:v>Matching workspace</x:v>
      </x:c>
      <x:c r="N24" s="112" t="str">
        <x:v>BASELINE</x:v>
      </x:c>
      <x:c r="O24" s="113" t="str">
        <x:v>TASK-019,TASK-021</x:v>
      </x:c>
    </x:row>
    <x:row r="25" ht="56" customHeight="1">
      <x:c r="A25" s="111" t="str">
        <x:v>MDM-009</x:v>
      </x:c>
      <x:c r="B25" s="112" t="str">
        <x:v>НСИ и качество данных</x:v>
      </x:c>
      <x:c r="C25" s="112" t="str">
        <x:v>Статусы новинок</x:v>
      </x:c>
      <x:c r="D25" s="112" t="str">
        <x:v>Для неизвестных строк поддерживать статусы: новинка, требуется сопоставление, не работаем, заблокировано, дубликат, изменение упаковки/штрихкода.</x:v>
      </x:c>
      <x:c r="E25" s="112" t="str">
        <x:v>Функциональное</x:v>
      </x:c>
      <x:c r="F25" s="112" t="str">
        <x:v>SRC-08,SRC-09</x:v>
      </x:c>
      <x:c r="G25" s="112" t="str">
        <x:v>Формализовано</x:v>
      </x:c>
      <x:c r="H25" s="146" t="str">
        <x:v>P1</x:v>
      </x:c>
      <x:c r="I25" s="112" t="str">
        <x:v>P4</x:v>
      </x:c>
      <x:c r="J25" s="112" t="str">
        <x:v>1С staging</x:v>
      </x:c>
      <x:c r="K25" s="112" t="str">
        <x:v>Категорийный менеджер</x:v>
      </x:c>
      <x:c r="L25" s="112" t="str">
        <x:v>Каждая строка имеет один объяснимый статус и ответственное решение.</x:v>
      </x:c>
      <x:c r="M25" s="112" t="str">
        <x:v>Классификатор статусов</x:v>
      </x:c>
      <x:c r="N25" s="112" t="str">
        <x:v>BASELINE</x:v>
      </x:c>
      <x:c r="O25" s="113" t="str">
        <x:v>TASK-021</x:v>
      </x:c>
    </x:row>
    <x:row r="26" ht="56" customHeight="1">
      <x:c r="A26" s="111" t="str">
        <x:v>MDM-010</x:v>
      </x:c>
      <x:c r="B26" s="112" t="str">
        <x:v>НСИ и качество данных</x:v>
      </x:c>
      <x:c r="C26" s="112" t="str">
        <x:v>Data Quality</x:v>
      </x:c>
      <x:c r="D26" s="112" t="str">
        <x:v>Ни одна исходная строка не теряется молча: товар, заголовок, категория, итог, комментарий, пустая/ошибочная строка учитываются в сверке.</x:v>
      </x:c>
      <x:c r="E26" s="112" t="str">
        <x:v>Контроль данных</x:v>
      </x:c>
      <x:c r="F26" s="112" t="str">
        <x:v>SRC-09,SRC-11</x:v>
      </x:c>
      <x:c r="G26" s="112" t="str">
        <x:v>Принято</x:v>
      </x:c>
      <x:c r="H26" s="146" t="str">
        <x:v>P0</x:v>
      </x:c>
      <x:c r="I26" s="112" t="str">
        <x:v>P3</x:v>
      </x:c>
      <x:c r="J26" s="112" t="str">
        <x:v>Сервис</x:v>
      </x:c>
      <x:c r="K26" s="112" t="str">
        <x:v>Технический лидер</x:v>
      </x:c>
      <x:c r="L26" s="112" t="str">
        <x:v>Сумма классифицированных строк равна числу прочитанных; blocking issues запрещают публикацию.</x:v>
      </x:c>
      <x:c r="M26" s="112" t="str">
        <x:v>Raw model/readers</x:v>
      </x:c>
      <x:c r="N26" s="112" t="str">
        <x:v>BASELINE</x:v>
      </x:c>
      <x:c r="O26" s="113" t="str">
        <x:v>TASK-012,TASK-014</x:v>
      </x:c>
    </x:row>
    <x:row r="27" ht="56" customHeight="1">
      <x:c r="A27" s="111" t="str">
        <x:v>MDM-011</x:v>
      </x:c>
      <x:c r="B27" s="112" t="str">
        <x:v>НСИ и качество данных</x:v>
      </x:c>
      <x:c r="C27" s="112" t="str">
        <x:v>Версионирование</x:v>
      </x:c>
      <x:c r="D27" s="112" t="str">
        <x:v>Версионировать профили, правила трансформации, классификаторы и канонические пакеты с возможностью воспроизведения результата.</x:v>
      </x:c>
      <x:c r="E27" s="112" t="str">
        <x:v>Нефункциональное</x:v>
      </x:c>
      <x:c r="F27" s="112" t="str">
        <x:v>SRC-09,SRC-11,SRC-12</x:v>
      </x:c>
      <x:c r="G27" s="112" t="str">
        <x:v>Принято</x:v>
      </x:c>
      <x:c r="H27" s="146" t="str">
        <x:v>P1</x:v>
      </x:c>
      <x:c r="I27" s="112" t="str">
        <x:v>P3-P7</x:v>
      </x:c>
      <x:c r="J27" s="112" t="str">
        <x:v>Сервис + 1С</x:v>
      </x:c>
      <x:c r="K27" s="112" t="str">
        <x:v>Технический лидер / владелец 1С</x:v>
      </x:c>
      <x:c r="L27" s="112" t="str">
        <x:v>По package ID доступны исходник, profile version, code version, transformations и решения.</x:v>
      </x:c>
      <x:c r="M27" s="112" t="str">
        <x:v>Audit storage</x:v>
      </x:c>
      <x:c r="N27" s="112" t="str">
        <x:v>BASELINE</x:v>
      </x:c>
      <x:c r="O27" s="113" t="str">
        <x:v>TASK-010,TASK-015</x:v>
      </x:c>
    </x:row>
    <x:row r="28" ht="56" customHeight="1">
      <x:c r="A28" s="111" t="str">
        <x:v>MDM-012</x:v>
      </x:c>
      <x:c r="B28" s="112" t="str">
        <x:v>НСИ и качество данных</x:v>
      </x:c>
      <x:c r="C28" s="112" t="str">
        <x:v>Владельцы качества</x:v>
      </x:c>
      <x:c r="D28" s="112" t="str">
        <x:v>Назначить владельцев показателей качества НСИ и SLA исправления блокирующих ошибок.</x:v>
      </x:c>
      <x:c r="E28" s="112" t="str">
        <x:v>Организационное</x:v>
      </x:c>
      <x:c r="F28" s="112" t="str">
        <x:v>SRC-05,SRC-09</x:v>
      </x:c>
      <x:c r="G28" s="112" t="str">
        <x:v>Синтез исследования</x:v>
      </x:c>
      <x:c r="H28" s="146" t="str">
        <x:v>P1</x:v>
      </x:c>
      <x:c r="I28" s="112" t="str">
        <x:v>P2-P7</x:v>
      </x:c>
      <x:c r="J28" s="112" t="str">
        <x:v>Управление качеством</x:v>
      </x:c>
      <x:c r="K28" s="112" t="str">
        <x:v>Владельцы процессов</x:v>
      </x:c>
      <x:c r="L28" s="112" t="str">
        <x:v>DQ dashboard показывает backlog, возраст, владельца и нарушенный SLA.</x:v>
      </x:c>
      <x:c r="M28" s="112" t="str">
        <x:v>KPI и роли</x:v>
      </x:c>
      <x:c r="N28" s="112" t="str">
        <x:v>BASELINE</x:v>
      </x:c>
      <x:c r="O28" s="113" t="str">
        <x:v>TASK-024</x:v>
      </x:c>
    </x:row>
    <x:row r="29" ht="56" customHeight="1">
      <x:c r="A29" s="111" t="str">
        <x:v>INT-001</x:v>
      </x:c>
      <x:c r="B29" s="112" t="str">
        <x:v>Интеграции и обмены</x:v>
      </x:c>
      <x:c r="C29" s="112" t="str">
        <x:v>Контрольный маршрут</x:v>
      </x:c>
      <x:c r="D29" s="112" t="str">
        <x:v>Проследить один магазин и один день по цепочке Розница → центральная Розница → новая УТ → старая УТ → регистры → отчёт.</x:v>
      </x:c>
      <x:c r="E29" s="112" t="str">
        <x:v>Контроль</x:v>
      </x:c>
      <x:c r="F29" s="112" t="str">
        <x:v>SRC-05,SRC-06</x:v>
      </x:c>
      <x:c r="G29" s="112" t="str">
        <x:v>Критическая рекомендация</x:v>
      </x:c>
      <x:c r="H29" s="146" t="str">
        <x:v>P0</x:v>
      </x:c>
      <x:c r="I29" s="112" t="str">
        <x:v>P1</x:v>
      </x:c>
      <x:c r="J29" s="112" t="str">
        <x:v>Интеграция 1С</x:v>
      </x:c>
      <x:c r="K29" s="112" t="str">
        <x:v>ИТ + финансы</x:v>
      </x:c>
      <x:c r="L29" s="112" t="str">
        <x:v>Сверены количество документов, суммы, товары, подразделения и статусы проведения.</x:v>
      </x:c>
      <x:c r="M29" s="112" t="str">
        <x:v>Доступ к базам</x:v>
      </x:c>
      <x:c r="N29" s="112" t="str">
        <x:v>BASELINE</x:v>
      </x:c>
      <x:c r="O29" s="113" t="str">
        <x:v>G1</x:v>
      </x:c>
    </x:row>
    <x:row r="30" ht="56" customHeight="1">
      <x:c r="A30" s="111" t="str">
        <x:v>INT-002</x:v>
      </x:c>
      <x:c r="B30" s="112" t="str">
        <x:v>Интеграции и обмены</x:v>
      </x:c>
      <x:c r="C30" s="112" t="str">
        <x:v>Протокол обмена</x:v>
      </x:c>
      <x:c r="D30" s="112" t="str">
        <x:v>Каждый выгруженный документ должен быть либо успешно проведён, либо находиться в явной очереди исключений.</x:v>
      </x:c>
      <x:c r="E30" s="112" t="str">
        <x:v>Контроль</x:v>
      </x:c>
      <x:c r="F30" s="112" t="str">
        <x:v>SRC-05,SRC-06</x:v>
      </x:c>
      <x:c r="G30" s="112" t="str">
        <x:v>Экранно подтверждён дефект</x:v>
      </x:c>
      <x:c r="H30" s="146" t="str">
        <x:v>P0</x:v>
      </x:c>
      <x:c r="I30" s="112" t="str">
        <x:v>P1</x:v>
      </x:c>
      <x:c r="J30" s="112" t="str">
        <x:v>Интеграция 1С</x:v>
      </x:c>
      <x:c r="K30" s="112" t="str">
        <x:v>Владелец 1С</x:v>
      </x:c>
      <x:c r="L30" s="112" t="str">
        <x:v>Нет записанных, но непроведённых документов без статуса; итоговые контрольные суммы совпадают.</x:v>
      </x:c>
      <x:c r="M30" s="112" t="str">
        <x:v>Логи и статусы</x:v>
      </x:c>
      <x:c r="N30" s="112" t="str">
        <x:v>BASELINE</x:v>
      </x:c>
      <x:c r="O30" s="113" t="str">
        <x:v>P1-exchange</x:v>
      </x:c>
    </x:row>
    <x:row r="31" ht="56" customHeight="1">
      <x:c r="A31" s="111" t="str">
        <x:v>INT-003</x:v>
      </x:c>
      <x:c r="B31" s="112" t="str">
        <x:v>Интеграции и обмены</x:v>
      </x:c>
      <x:c r="C31" s="112" t="str">
        <x:v>Автоматизация обмена</x:v>
      </x:c>
      <x:c r="D31" s="112" t="str">
        <x:v>Убрать ручной выбор периода и команды «Найти/Выгрузить/Прочитать/Загрузить» для штатного обмена; оставить управляемый повтор.</x:v>
      </x:c>
      <x:c r="E31" s="112" t="str">
        <x:v>Функциональное</x:v>
      </x:c>
      <x:c r="F31" s="112" t="str">
        <x:v>SRC-05</x:v>
      </x:c>
      <x:c r="G31" s="112" t="str">
        <x:v>Экранно подтверждено</x:v>
      </x:c>
      <x:c r="H31" s="146" t="str">
        <x:v>P1</x:v>
      </x:c>
      <x:c r="I31" s="112" t="str">
        <x:v>P1-P3</x:v>
      </x:c>
      <x:c r="J31" s="112" t="str">
        <x:v>1С интеграция</x:v>
      </x:c>
      <x:c r="K31" s="112" t="str">
        <x:v>Владелец 1С</x:v>
      </x:c>
      <x:c r="L31" s="112" t="str">
        <x:v>Регламентное задание выполняется автоматически; ручной запуск журналируется и идемпотентен.</x:v>
      </x:c>
      <x:c r="M31" s="112" t="str">
        <x:v>Стабилизация справочников</x:v>
      </x:c>
      <x:c r="N31" s="112" t="str">
        <x:v>BASELINE</x:v>
      </x:c>
      <x:c r="O31" s="113" t="str">
        <x:v>Integration-wave</x:v>
      </x:c>
    </x:row>
    <x:row r="32" ht="56" customHeight="1">
      <x:c r="A32" s="111" t="str">
        <x:v>INT-004</x:v>
      </x:c>
      <x:c r="B32" s="112" t="str">
        <x:v>Интеграции и обмены</x:v>
      </x:c>
      <x:c r="C32" s="112" t="str">
        <x:v>Контрольные суммы</x:v>
      </x:c>
      <x:c r="D32" s="112" t="str">
        <x:v>На каждом переходе сравнивать количество документов/строк, суммы, налоги и ключевые аналитики.</x:v>
      </x:c>
      <x:c r="E32" s="112" t="str">
        <x:v>Контроль</x:v>
      </x:c>
      <x:c r="F32" s="112" t="str">
        <x:v>SRC-05,SRC-09</x:v>
      </x:c>
      <x:c r="G32" s="112" t="str">
        <x:v>Подтверждено</x:v>
      </x:c>
      <x:c r="H32" s="146" t="str">
        <x:v>P0</x:v>
      </x:c>
      <x:c r="I32" s="112" t="str">
        <x:v>P1-P7</x:v>
      </x:c>
      <x:c r="J32" s="112" t="str">
        <x:v>Интеграция / мониторинг</x:v>
      </x:c>
      <x:c r="K32" s="112" t="str">
        <x:v>ИТ + финансы</x:v>
      </x:c>
      <x:c r="L32" s="112" t="str">
        <x:v>Сверка формируется автоматически или по регламенту и хранит расхождения.</x:v>
      </x:c>
      <x:c r="M32" s="112" t="str">
        <x:v>Определение контрольных полей</x:v>
      </x:c>
      <x:c r="N32" s="112" t="str">
        <x:v>BASELINE</x:v>
      </x:c>
      <x:c r="O32" s="113" t="str">
        <x:v>TASK-024</x:v>
      </x:c>
    </x:row>
    <x:row r="33" ht="56" customHeight="1">
      <x:c r="A33" s="111" t="str">
        <x:v>INT-005</x:v>
      </x:c>
      <x:c r="B33" s="112" t="str">
        <x:v>Интеграции и обмены</x:v>
      </x:c>
      <x:c r="C33" s="112" t="str">
        <x:v>Идемпотентность</x:v>
      </x:c>
      <x:c r="D33" s="112" t="str">
        <x:v>Повторная загрузка файла, пакета, ACK или команды создания документа не должна создавать дубли.</x:v>
      </x:c>
      <x:c r="E33" s="112" t="str">
        <x:v>Нефункциональное</x:v>
      </x:c>
      <x:c r="F33" s="112" t="str">
        <x:v>SRC-09,SRC-11,SRC-12,SRC-14</x:v>
      </x:c>
      <x:c r="G33" s="112" t="str">
        <x:v>Принято</x:v>
      </x:c>
      <x:c r="H33" s="146" t="str">
        <x:v>P0</x:v>
      </x:c>
      <x:c r="I33" s="112" t="str">
        <x:v>P3-P7</x:v>
      </x:c>
      <x:c r="J33" s="112" t="str">
        <x:v>Сервис + 1С</x:v>
      </x:c>
      <x:c r="K33" s="112" t="str">
        <x:v>Технический лидер / владелец 1С</x:v>
      </x:c>
      <x:c r="L33" s="112" t="str">
        <x:v>Повтор с тем же ключом возвращает существующий результат; конфликт различного содержимого отклоняется.</x:v>
      </x:c>
      <x:c r="M33" s="112" t="str">
        <x:v>Контракты и ключи</x:v>
      </x:c>
      <x:c r="N33" s="112" t="str">
        <x:v>ЧАСТИЧНО РЕАЛИЗОВАНО</x:v>
      </x:c>
      <x:c r="O33" s="113" t="str">
        <x:v>TASK-003,TASK-018,TASK-020,TASK-033</x:v>
      </x:c>
    </x:row>
    <x:row r="34" ht="56" customHeight="1">
      <x:c r="A34" s="111" t="str">
        <x:v>INT-006</x:v>
      </x:c>
      <x:c r="B34" s="112" t="str">
        <x:v>Интеграции и обмены</x:v>
      </x:c>
      <x:c r="C34" s="112" t="str">
        <x:v>Staging</x:v>
      </x:c>
      <x:c r="D34" s="112" t="str">
        <x:v>Все внешние пакеты сначала принимаются в staging 1С с проверкой schema, digest, дублей и прав до изменения типовых объектов.</x:v>
      </x:c>
      <x:c r="E34" s="112" t="str">
        <x:v>Архитектурное</x:v>
      </x:c>
      <x:c r="F34" s="112" t="str">
        <x:v>SRC-09,SRC-12,SRC-13</x:v>
      </x:c>
      <x:c r="G34" s="112" t="str">
        <x:v>Принято</x:v>
      </x:c>
      <x:c r="H34" s="146" t="str">
        <x:v>P0</x:v>
      </x:c>
      <x:c r="I34" s="112" t="str">
        <x:v>P4-P5</x:v>
      </x:c>
      <x:c r="J34" s="112" t="str">
        <x:v>1С staging</x:v>
      </x:c>
      <x:c r="K34" s="112" t="str">
        <x:v>Владелец 1С</x:v>
      </x:c>
      <x:c r="L34" s="112" t="str">
        <x:v>Невалидный/дублирующий пакет не изменяет мастер-данные и документы.</x:v>
      </x:c>
      <x:c r="M34" s="112" t="str">
        <x:v>1С extension</x:v>
      </x:c>
      <x:c r="N34" s="112" t="str">
        <x:v>BASELINE</x:v>
      </x:c>
      <x:c r="O34" s="113" t="str">
        <x:v>TASK-020,TASK-030</x:v>
      </x:c>
    </x:row>
    <x:row r="35" ht="56" customHeight="1">
      <x:c r="A35" s="111" t="str">
        <x:v>INT-007</x:v>
      </x:c>
      <x:c r="B35" s="112" t="str">
        <x:v>Интеграции и обмены</x:v>
      </x:c>
      <x:c r="C35" s="112" t="str">
        <x:v>Контракт пакета</x:v>
      </x:c>
      <x:c r="D35" s="112" t="str">
        <x:v>Использовать версионированные канонические контракты import-package, mapping-sync и receipt-package.</x:v>
      </x:c>
      <x:c r="E35" s="112" t="str">
        <x:v>Интеграционное</x:v>
      </x:c>
      <x:c r="F35" s="112" t="str">
        <x:v>SRC-09,SRC-10,SRC-11</x:v>
      </x:c>
      <x:c r="G35" s="112" t="str">
        <x:v>Принято</x:v>
      </x:c>
      <x:c r="H35" s="146" t="str">
        <x:v>P0</x:v>
      </x:c>
      <x:c r="I35" s="112" t="str">
        <x:v>P3-P5</x:v>
      </x:c>
      <x:c r="J35" s="112" t="str">
        <x:v>API / contracts</x:v>
      </x:c>
      <x:c r="K35" s="112" t="str">
        <x:v>Технический лидер</x:v>
      </x:c>
      <x:c r="L35" s="112" t="str">
        <x:v>Valid fixtures проходят, invalid падают с ожидаемым code/path; breaking change сопровождается ADR.</x:v>
      </x:c>
      <x:c r="M35" s="112" t="str">
        <x:v>Schema registry</x:v>
      </x:c>
      <x:c r="N35" s="112" t="str">
        <x:v>BASELINE</x:v>
      </x:c>
      <x:c r="O35" s="113" t="str">
        <x:v>TASK-001,TASK-015,TASK-026</x:v>
      </x:c>
    </x:row>
    <x:row r="36" ht="56" customHeight="1">
      <x:c r="A36" s="111" t="str">
        <x:v>INT-008</x:v>
      </x:c>
      <x:c r="B36" s="112" t="str">
        <x:v>Интеграции и обмены</x:v>
      </x:c>
      <x:c r="C36" s="112" t="str">
        <x:v>Синхронизация mapping</x:v>
      </x:c>
      <x:c r="D36" s="112" t="str">
        <x:v>1С публикует delta подтверждённых/заблокированных связей; сервис хранит только кэш-подсказку, более новая версия 1С побеждает.</x:v>
      </x:c>
      <x:c r="E36" s="112" t="str">
        <x:v>Интеграционное</x:v>
      </x:c>
      <x:c r="F36" s="112" t="str">
        <x:v>SRC-09,SRC-12</x:v>
      </x:c>
      <x:c r="G36" s="112" t="str">
        <x:v>Принято</x:v>
      </x:c>
      <x:c r="H36" s="146" t="str">
        <x:v>P1</x:v>
      </x:c>
      <x:c r="I36" s="112" t="str">
        <x:v>P4-P5</x:v>
      </x:c>
      <x:c r="J36" s="112" t="str">
        <x:v>1С + сервис</x:v>
      </x:c>
      <x:c r="K36" s="112" t="str">
        <x:v>Владелец 1С</x:v>
      </x:c>
      <x:c r="L36" s="112" t="str">
        <x:v>Checkpoint и version conflict обрабатываются; удалённые связи распространяются.</x:v>
      </x:c>
      <x:c r="M36" s="112" t="str">
        <x:v>Mapping contract</x:v>
      </x:c>
      <x:c r="N36" s="112" t="str">
        <x:v>BASELINE</x:v>
      </x:c>
      <x:c r="O36" s="113" t="str">
        <x:v>TASK-019</x:v>
      </x:c>
    </x:row>
    <x:row r="37" ht="56" customHeight="1">
      <x:c r="A37" s="111" t="str">
        <x:v>INT-009</x:v>
      </x:c>
      <x:c r="B37" s="112" t="str">
        <x:v>Интеграции и обмены</x:v>
      </x:c>
      <x:c r="C37" s="112" t="str">
        <x:v>Надёжная очередь</x:v>
      </x:c>
      <x:c r="D37" s="112" t="str">
        <x:v>Использовать PostgreSQL transactional outbox, Redis как транспорт и worker с lease/retry/dead-letter.</x:v>
      </x:c>
      <x:c r="E37" s="112" t="str">
        <x:v>Нефункциональное</x:v>
      </x:c>
      <x:c r="F37" s="112" t="str">
        <x:v>SRC-14,SRC-18</x:v>
      </x:c>
      <x:c r="G37" s="112" t="str">
        <x:v>Принято и реализовано</x:v>
      </x:c>
      <x:c r="H37" s="146" t="str">
        <x:v>P0</x:v>
      </x:c>
      <x:c r="I37" s="112" t="str">
        <x:v>P3</x:v>
      </x:c>
      <x:c r="J37" s="112" t="str">
        <x:v>Сервис</x:v>
      </x:c>
      <x:c r="K37" s="112" t="str">
        <x:v>Технический лидер</x:v>
      </x:c>
      <x:c r="L37" s="112" t="str">
        <x:v>Duplicate delivery даёт один эффект; зависшая задача восстанавливается; DLQ доступен оператору.</x:v>
      </x:c>
      <x:c r="M37" s="112" t="str">
        <x:v>WORK-003</x:v>
      </x:c>
      <x:c r="N37" s="112" t="str">
        <x:v>РЕАЛИЗОВАНО</x:v>
      </x:c>
      <x:c r="O37" s="113" t="str">
        <x:v>WORK-003/TASK-005</x:v>
      </x:c>
    </x:row>
    <x:row r="38" ht="56" customHeight="1">
      <x:c r="A38" s="111" t="str">
        <x:v>INT-010</x:v>
      </x:c>
      <x:c r="B38" s="112" t="str">
        <x:v>Интеграции и обмены</x:v>
      </x:c>
      <x:c r="C38" s="112" t="str">
        <x:v>Без прямого доступа к БД 1С</x:v>
      </x:c>
      <x:c r="D38" s="112" t="str">
        <x:v>Внешний сервис взаимодействует через API/polling/contracts и не подключается напрямую к рабочей БД 1С.</x:v>
      </x:c>
      <x:c r="E38" s="112" t="str">
        <x:v>Безопасность</x:v>
      </x:c>
      <x:c r="F38" s="112" t="str">
        <x:v>SRC-12</x:v>
      </x:c>
      <x:c r="G38" s="112" t="str">
        <x:v>Принято</x:v>
      </x:c>
      <x:c r="H38" s="146" t="str">
        <x:v>P0</x:v>
      </x:c>
      <x:c r="I38" s="112" t="str">
        <x:v>P3-P7</x:v>
      </x:c>
      <x:c r="J38" s="112" t="str">
        <x:v>Архитектура</x:v>
      </x:c>
      <x:c r="K38" s="112" t="str">
        <x:v>Архитектурный комитет</x:v>
      </x:c>
      <x:c r="L38" s="112" t="str">
        <x:v>Сетевые правила и код не содержат прямого DB connection к 1С.</x:v>
      </x:c>
      <x:c r="M38" s="112" t="str">
        <x:v>Выбор auth</x:v>
      </x:c>
      <x:c r="N38" s="112" t="str">
        <x:v>BASELINE</x:v>
      </x:c>
      <x:c r="O38" s="113" t="str">
        <x:v>ADR-001,TASK-018</x:v>
      </x:c>
    </x:row>
    <x:row r="39" ht="56" customHeight="1">
      <x:c r="A39" s="111" t="str">
        <x:v>IMP-001</x:v>
      </x:c>
      <x:c r="B39" s="112" t="str">
        <x:v>Прайсы и нормализация</x:v>
      </x:c>
      <x:c r="C39" s="112" t="str">
        <x:v>Регистрация исходника</x:v>
      </x:c>
      <x:c r="D39" s="112" t="str">
        <x:v>Принимать XLS, XLSX и CSV, сохранять оригинал неизменяемо, вычислять SHA-256 и регистрировать метаданные.</x:v>
      </x:c>
      <x:c r="E39" s="112" t="str">
        <x:v>Функциональное</x:v>
      </x:c>
      <x:c r="F39" s="112" t="str">
        <x:v>SRC-09,SRC-11,SRC-12</x:v>
      </x:c>
      <x:c r="G39" s="112" t="str">
        <x:v>Принято и частично реализовано</x:v>
      </x:c>
      <x:c r="H39" s="146" t="str">
        <x:v>P0</x:v>
      </x:c>
      <x:c r="I39" s="112" t="str">
        <x:v>P3</x:v>
      </x:c>
      <x:c r="J39" s="112" t="str">
        <x:v>Внешний сервис</x:v>
      </x:c>
      <x:c r="K39" s="112" t="str">
        <x:v>Технический лидер</x:v>
      </x:c>
      <x:c r="L39" s="112" t="str">
        <x:v>Повтор digest не создаёт второй blob; размер, имя и correlation ID доступны в lifecycle.</x:v>
      </x:c>
      <x:c r="M39" s="112" t="str">
        <x:v>Object storage</x:v>
      </x:c>
      <x:c r="N39" s="112" t="str">
        <x:v>РЕАЛИЗОВАНО</x:v>
      </x:c>
      <x:c r="O39" s="113" t="str">
        <x:v>WORK-002/TASK-004</x:v>
      </x:c>
    </x:row>
    <x:row r="40" ht="56" customHeight="1">
      <x:c r="A40" s="111" t="str">
        <x:v>IMP-002</x:v>
      </x:c>
      <x:c r="B40" s="112" t="str">
        <x:v>Прайсы и нормализация</x:v>
      </x:c>
      <x:c r="C40" s="112" t="str">
        <x:v>Raw workbook</x:v>
      </x:c>
      <x:c r="D40" s="112" t="str">
        <x:v>Хранить структуру Workbook/Sheet/Row/Cell, координаты, hidden sheets, merged ranges, formula text и cached value без выполнения формул.</x:v>
      </x:c>
      <x:c r="E40" s="112" t="str">
        <x:v>Техническое</x:v>
      </x:c>
      <x:c r="F40" s="112" t="str">
        <x:v>SRC-11,SRC-18</x:v>
      </x:c>
      <x:c r="G40" s="112" t="str">
        <x:v>Реализовано</x:v>
      </x:c>
      <x:c r="H40" s="146" t="str">
        <x:v>P0</x:v>
      </x:c>
      <x:c r="I40" s="112" t="str">
        <x:v>P3</x:v>
      </x:c>
      <x:c r="J40" s="112" t="str">
        <x:v>Внешний сервис</x:v>
      </x:c>
      <x:c r="K40" s="112" t="str">
        <x:v>Технический лидер</x:v>
      </x:c>
      <x:c r="L40" s="112" t="str">
        <x:v>Leading zeros и error cells сохраняются; raw model валидируется schema.</x:v>
      </x:c>
      <x:c r="M40" s="112" t="str">
        <x:v>WORK-004</x:v>
      </x:c>
      <x:c r="N40" s="112" t="str">
        <x:v>РЕАЛИЗОВАНО</x:v>
      </x:c>
      <x:c r="O40" s="113" t="str">
        <x:v>WORK-004/TASK-006</x:v>
      </x:c>
    </x:row>
    <x:row r="41" ht="56" customHeight="1">
      <x:c r="A41" s="111" t="str">
        <x:v>IMP-003</x:v>
      </x:c>
      <x:c r="B41" s="112" t="str">
        <x:v>Прайсы и нормализация</x:v>
      </x:c>
      <x:c r="C41" s="112" t="str">
        <x:v>XLSX reader</x:v>
      </x:c>
      <x:c r="D41" s="112" t="str">
        <x:v>Безопасно читать XLSX с лимитами размера, листов, строк, столбцов, ячеек, времени и распакованного ZIP.</x:v>
      </x:c>
      <x:c r="E41" s="112" t="str">
        <x:v>Функциональное</x:v>
      </x:c>
      <x:c r="F41" s="112" t="str">
        <x:v>SRC-09,SRC-11,SRC-18</x:v>
      </x:c>
      <x:c r="G41" s="112" t="str">
        <x:v>Код на ревью</x:v>
      </x:c>
      <x:c r="H41" s="146" t="str">
        <x:v>P0</x:v>
      </x:c>
      <x:c r="I41" s="112" t="str">
        <x:v>P3</x:v>
      </x:c>
      <x:c r="J41" s="112" t="str">
        <x:v>Внешний сервис</x:v>
      </x:c>
      <x:c r="K41" s="112" t="str">
        <x:v>Технический лидер</x:v>
      </x:c>
      <x:c r="L41" s="112" t="str">
        <x:v>Malicious/large fixtures дают typed issue; hidden/formula/blank rows не теряются.</x:v>
      </x:c>
      <x:c r="M41" s="112" t="str">
        <x:v>Разблокировка CI</x:v>
      </x:c>
      <x:c r="N41" s="112" t="str">
        <x:v>НА РЕВЬЮ</x:v>
      </x:c>
      <x:c r="O41" s="113" t="str">
        <x:v>WORK-005/TASK-007</x:v>
      </x:c>
    </x:row>
    <x:row r="42" ht="56" customHeight="1">
      <x:c r="A42" s="111" t="str">
        <x:v>IMP-004</x:v>
      </x:c>
      <x:c r="B42" s="112" t="str">
        <x:v>Прайсы и нормализация</x:v>
      </x:c>
      <x:c r="C42" s="112" t="str">
        <x:v>CSV reader</x:v>
      </x:c>
      <x:c r="D42" s="112" t="str">
        <x:v>Поддерживать UTF-8/UTF-16/Windows-1251, разделители, кавычки, переносы строк и явные overrides.</x:v>
      </x:c>
      <x:c r="E42" s="112" t="str">
        <x:v>Функциональное</x:v>
      </x:c>
      <x:c r="F42" s="112" t="str">
        <x:v>SRC-09,SRC-11,SRC-18</x:v>
      </x:c>
      <x:c r="G42" s="112" t="str">
        <x:v>Код в stacked PR</x:v>
      </x:c>
      <x:c r="H42" s="146" t="str">
        <x:v>P1</x:v>
      </x:c>
      <x:c r="I42" s="112" t="str">
        <x:v>P3</x:v>
      </x:c>
      <x:c r="J42" s="112" t="str">
        <x:v>Внешний сервис</x:v>
      </x:c>
      <x:c r="K42" s="112" t="str">
        <x:v>Технический лидер</x:v>
      </x:c>
      <x:c r="L42" s="112" t="str">
        <x:v>Контрольные CSV читаются без преобразования кодов и пробелов; malformed rows дают issue.</x:v>
      </x:c>
      <x:c r="M42" s="112" t="str">
        <x:v>WORK-006 base</x:v>
      </x:c>
      <x:c r="N42" s="112" t="str">
        <x:v>В РАЗРАБОТКЕ</x:v>
      </x:c>
      <x:c r="O42" s="113" t="str">
        <x:v>WORK-007/TASK-008</x:v>
      </x:c>
    </x:row>
    <x:row r="43" ht="56" customHeight="1">
      <x:c r="A43" s="111" t="str">
        <x:v>IMP-005</x:v>
      </x:c>
      <x:c r="B43" s="112" t="str">
        <x:v>Прайсы и нормализация</x:v>
      </x:c>
      <x:c r="C43" s="112" t="str">
        <x:v>Legacy XLS reader</x:v>
      </x:c>
      <x:c r="D43" s="112" t="str">
        <x:v>Читать BIFF/XLS в изолированном worker/container без сети и с ресурсными ограничениями.</x:v>
      </x:c>
      <x:c r="E43" s="112" t="str">
        <x:v>Безопасность</x:v>
      </x:c>
      <x:c r="F43" s="112" t="str">
        <x:v>SRC-09,SRC-11</x:v>
      </x:c>
      <x:c r="G43" s="112" t="str">
        <x:v>Требование baseline; статус реализации не подтверждён</x:v>
      </x:c>
      <x:c r="H43" s="146" t="str">
        <x:v>P1</x:v>
      </x:c>
      <x:c r="I43" s="112" t="str">
        <x:v>P3</x:v>
      </x:c>
      <x:c r="J43" s="112" t="str">
        <x:v>Внешний сервис</x:v>
      </x:c>
      <x:c r="K43" s="112" t="str">
        <x:v>Технический лидер</x:v>
      </x:c>
      <x:c r="L43" s="112" t="str">
        <x:v>Crash/timeout не влияет на основной сервис; 2 legacy golden profiles разобраны либо имеют blocking issue.</x:v>
      </x:c>
      <x:c r="M43" s="112" t="str">
        <x:v>Инвентаризация WORK-006</x:v>
      </x:c>
      <x:c r="N43" s="112" t="str">
        <x:v>ЗАПЛАНИРОВАНО</x:v>
      </x:c>
      <x:c r="O43" s="113" t="str">
        <x:v>WORK-006/TASK-009</x:v>
      </x:c>
    </x:row>
    <x:row r="44" ht="56" customHeight="1">
      <x:c r="A44" s="111" t="str">
        <x:v>IMP-006</x:v>
      </x:c>
      <x:c r="B44" s="112" t="str">
        <x:v>Прайсы и нормализация</x:v>
      </x:c>
      <x:c r="C44" s="112" t="str">
        <x:v>Профиль поставщика</x:v>
      </x:c>
      <x:c r="D44" s="112" t="str">
        <x:v>Описывать структуру файла декларативным версионированным профилем без произвольного кода.</x:v>
      </x:c>
      <x:c r="E44" s="112" t="str">
        <x:v>Функциональное</x:v>
      </x:c>
      <x:c r="F44" s="112" t="str">
        <x:v>SRC-09,SRC-11,SRC-18</x:v>
      </x:c>
      <x:c r="G44" s="112" t="str">
        <x:v>Код на ревью</x:v>
      </x:c>
      <x:c r="H44" s="146" t="str">
        <x:v>P0</x:v>
      </x:c>
      <x:c r="I44" s="112" t="str">
        <x:v>P3</x:v>
      </x:c>
      <x:c r="J44" s="112" t="str">
        <x:v>Внешний сервис</x:v>
      </x:c>
      <x:c r="K44" s="112" t="str">
        <x:v>Технический лидер</x:v>
      </x:c>
      <x:c r="L44" s="112" t="str">
        <x:v>Invalid profile отклоняется до processing; activation/rollback сохраняют историю.</x:v>
      </x:c>
      <x:c r="M44" s="112" t="str">
        <x:v>Merge stacked PR</x:v>
      </x:c>
      <x:c r="N44" s="112" t="str">
        <x:v>НА РЕВЬЮ</x:v>
      </x:c>
      <x:c r="O44" s="113" t="str">
        <x:v>WORK-008/TASK-010</x:v>
      </x:c>
    </x:row>
    <x:row r="45" ht="56" customHeight="1">
      <x:c r="A45" s="111" t="str">
        <x:v>IMP-007</x:v>
      </x:c>
      <x:c r="B45" s="112" t="str">
        <x:v>Прайсы и нормализация</x:v>
      </x:c>
      <x:c r="C45" s="112" t="str">
        <x:v>Определение профиля</x:v>
      </x:c>
      <x:c r="D45" s="112" t="str">
        <x:v>Определять профиль по имени/расширению/media type/листам/колонкам и возвращать объяснимый score.</x:v>
      </x:c>
      <x:c r="E45" s="112" t="str">
        <x:v>Функциональное</x:v>
      </x:c>
      <x:c r="F45" s="112" t="str">
        <x:v>SRC-09,SRC-11,SRC-18</x:v>
      </x:c>
      <x:c r="G45" s="112" t="str">
        <x:v>Код READY в stacked PR</x:v>
      </x:c>
      <x:c r="H45" s="146" t="str">
        <x:v>P0</x:v>
      </x:c>
      <x:c r="I45" s="112" t="str">
        <x:v>P3</x:v>
      </x:c>
      <x:c r="J45" s="112" t="str">
        <x:v>Внешний сервис</x:v>
      </x:c>
      <x:c r="K45" s="112" t="str">
        <x:v>Технический лидер</x:v>
      </x:c>
      <x:c r="L45" s="112" t="str">
        <x:v>Ambiguous 82/80 не выбирает профиль; drift даёт TEMPLATE_CHANGED.</x:v>
      </x:c>
      <x:c r="M45" s="112" t="str">
        <x:v>WORK-008</x:v>
      </x:c>
      <x:c r="N45" s="112" t="str">
        <x:v>НА РЕВЬЮ</x:v>
      </x:c>
      <x:c r="O45" s="113" t="str">
        <x:v>WORK-009/TASK-011</x:v>
      </x:c>
    </x:row>
    <x:row r="46" ht="56" customHeight="1">
      <x:c r="A46" s="111" t="str">
        <x:v>IMP-008</x:v>
      </x:c>
      <x:c r="B46" s="112" t="str">
        <x:v>Прайсы и нормализация</x:v>
      </x:c>
      <x:c r="C46" s="112" t="str">
        <x:v>Классификация строк</x:v>
      </x:c>
      <x:c r="D46" s="112" t="str">
        <x:v>Классифицировать строки PRODUCT, CATEGORY, HEADER, TOTAL, COMMENT, BLANK, DERIVED, ERROR, включая повторные шапки.</x:v>
      </x:c>
      <x:c r="E46" s="112" t="str">
        <x:v>Функциональное</x:v>
      </x:c>
      <x:c r="F46" s="112" t="str">
        <x:v>SRC-09,SRC-11</x:v>
      </x:c>
      <x:c r="G46" s="112" t="str">
        <x:v>Baseline</x:v>
      </x:c>
      <x:c r="H46" s="146" t="str">
        <x:v>P0</x:v>
      </x:c>
      <x:c r="I46" s="112" t="str">
        <x:v>P3</x:v>
      </x:c>
      <x:c r="J46" s="112" t="str">
        <x:v>Внешний сервис</x:v>
      </x:c>
      <x:c r="K46" s="112" t="str">
        <x:v>Технический лидер</x:v>
      </x:c>
      <x:c r="L46" s="112" t="str">
        <x:v>Количество классифицированных строк сверяется с raw; ни одна строка не выпадает.</x:v>
      </x:c>
      <x:c r="M46" s="112" t="str">
        <x:v>Профиль detection</x:v>
      </x:c>
      <x:c r="N46" s="112" t="str">
        <x:v>ЗАПЛАНИРОВАНО</x:v>
      </x:c>
      <x:c r="O46" s="113" t="str">
        <x:v>TASK-012</x:v>
      </x:c>
    </x:row>
    <x:row r="47" ht="56" customHeight="1">
      <x:c r="A47" s="111" t="str">
        <x:v>IMP-009</x:v>
      </x:c>
      <x:c r="B47" s="112" t="str">
        <x:v>Прайсы и нормализация</x:v>
      </x:c>
      <x:c r="C47" s="112" t="str">
        <x:v>Нормализация</x:v>
      </x:c>
      <x:c r="D47" s="112" t="str">
        <x:v>Нормализовать текст, GTIN, decimal, date, unit, availability, packaging и external key чистыми функциями с audit events.</x:v>
      </x:c>
      <x:c r="E47" s="112" t="str">
        <x:v>Функциональное</x:v>
      </x:c>
      <x:c r="F47" s="112" t="str">
        <x:v>SRC-09,SRC-11</x:v>
      </x:c>
      <x:c r="G47" s="112" t="str">
        <x:v>Baseline</x:v>
      </x:c>
      <x:c r="H47" s="146" t="str">
        <x:v>P0</x:v>
      </x:c>
      <x:c r="I47" s="112" t="str">
        <x:v>P3</x:v>
      </x:c>
      <x:c r="J47" s="112" t="str">
        <x:v>Внешний сервис</x:v>
      </x:c>
      <x:c r="K47" s="112" t="str">
        <x:v>Технический лидер</x:v>
      </x:c>
      <x:c r="L47" s="112" t="str">
        <x:v>Property tests; нет молчаливого приведения ошибки к нулю/пустому значению.</x:v>
      </x:c>
      <x:c r="M47" s="112" t="str">
        <x:v>Row classification</x:v>
      </x:c>
      <x:c r="N47" s="112" t="str">
        <x:v>ЗАПЛАНИРОВАНО</x:v>
      </x:c>
      <x:c r="O47" s="113" t="str">
        <x:v>TASK-013</x:v>
      </x:c>
    </x:row>
    <x:row r="48" ht="56" customHeight="1">
      <x:c r="A48" s="111" t="str">
        <x:v>IMP-010</x:v>
      </x:c>
      <x:c r="B48" s="112" t="str">
        <x:v>Прайсы и нормализация</x:v>
      </x:c>
      <x:c r="C48" s="112" t="str">
        <x:v>Контроль качества</x:v>
      </x:c>
      <x:c r="D48" s="112" t="str">
        <x:v>Проверять дубли строк, формулы, обязательные поля, цену, упаковку, ключи, GTIN и блокирующую политику.</x:v>
      </x:c>
      <x:c r="E48" s="112" t="str">
        <x:v>Контроль данных</x:v>
      </x:c>
      <x:c r="F48" s="112" t="str">
        <x:v>SRC-09,SRC-11</x:v>
      </x:c>
      <x:c r="G48" s="112" t="str">
        <x:v>Baseline</x:v>
      </x:c>
      <x:c r="H48" s="146" t="str">
        <x:v>P0</x:v>
      </x:c>
      <x:c r="I48" s="112" t="str">
        <x:v>P3</x:v>
      </x:c>
      <x:c r="J48" s="112" t="str">
        <x:v>Внешний сервис</x:v>
      </x:c>
      <x:c r="K48" s="112" t="str">
        <x:v>Технический лидер</x:v>
      </x:c>
      <x:c r="L48" s="112" t="str">
        <x:v>Critical issue блокирует publish; noncritical путешествует со строкой и координатой.</x:v>
      </x:c>
      <x:c r="M48" s="112" t="str">
        <x:v>Normalization</x:v>
      </x:c>
      <x:c r="N48" s="112" t="str">
        <x:v>ЗАПЛАНИРОВАНО</x:v>
      </x:c>
      <x:c r="O48" s="113" t="str">
        <x:v>TASK-014</x:v>
      </x:c>
    </x:row>
    <x:row r="49" ht="56" customHeight="1">
      <x:c r="A49" s="111" t="str">
        <x:v>IMP-011</x:v>
      </x:c>
      <x:c r="B49" s="112" t="str">
        <x:v>Прайсы и нормализация</x:v>
      </x:c>
      <x:c r="C49" s="112" t="str">
        <x:v>Канонический пакет</x:v>
      </x:c>
      <x:c r="D49" s="112" t="str">
        <x:v>Формировать детерминированный import-package с manifest/chunks, digest, summary, rows, issues и audit.</x:v>
      </x:c>
      <x:c r="E49" s="112" t="str">
        <x:v>Интеграционное</x:v>
      </x:c>
      <x:c r="F49" s="112" t="str">
        <x:v>SRC-09,SRC-11</x:v>
      </x:c>
      <x:c r="G49" s="112" t="str">
        <x:v>Baseline</x:v>
      </x:c>
      <x:c r="H49" s="146" t="str">
        <x:v>P0</x:v>
      </x:c>
      <x:c r="I49" s="112" t="str">
        <x:v>P3</x:v>
      </x:c>
      <x:c r="J49" s="112" t="str">
        <x:v>Внешний сервис</x:v>
      </x:c>
      <x:c r="K49" s="112" t="str">
        <x:v>Технический лидер</x:v>
      </x:c>
      <x:c r="L49" s="112" t="str">
        <x:v>Один source/profile/code даёт одинаковый payload; chunks собираются в исходный digest.</x:v>
      </x:c>
      <x:c r="M49" s="112" t="str">
        <x:v>DQ engine</x:v>
      </x:c>
      <x:c r="N49" s="112" t="str">
        <x:v>ЗАПЛАНИРОВАНО</x:v>
      </x:c>
      <x:c r="O49" s="113" t="str">
        <x:v>TASK-015</x:v>
      </x:c>
    </x:row>
    <x:row r="50" ht="56" customHeight="1">
      <x:c r="A50" s="111" t="str">
        <x:v>IMP-012</x:v>
      </x:c>
      <x:c r="B50" s="112" t="str">
        <x:v>Прайсы и нормализация</x:v>
      </x:c>
      <x:c r="C50" s="112" t="str">
        <x:v>Golden profiles</x:v>
      </x:c>
      <x:c r="D50" s="112" t="str">
        <x:v>Подготовить 3–5 утверждённых пилотных профилей и обезличенные golden fixtures с ожидаемыми строками/issues.</x:v>
      </x:c>
      <x:c r="E50" s="112" t="str">
        <x:v>Тестирование</x:v>
      </x:c>
      <x:c r="F50" s="112" t="str">
        <x:v>SRC-09,SRC-11,SRC-16</x:v>
      </x:c>
      <x:c r="G50" s="112" t="str">
        <x:v>Baseline; поставщики не выбраны</x:v>
      </x:c>
      <x:c r="H50" s="146" t="str">
        <x:v>P0</x:v>
      </x:c>
      <x:c r="I50" s="112" t="str">
        <x:v>P3-P4</x:v>
      </x:c>
      <x:c r="J50" s="112" t="str">
        <x:v>QA / сервис</x:v>
      </x:c>
      <x:c r="K50" s="112" t="str">
        <x:v>КМ + техлид</x:v>
      </x:c>
      <x:c r="L50" s="112" t="str">
        <x:v>Snapshots утверждены бизнесом; отклонения объяснены и проходят review.</x:v>
      </x:c>
      <x:c r="M50" s="112" t="str">
        <x:v>D-02 выбор поставщиков</x:v>
      </x:c>
      <x:c r="N50" s="112" t="str">
        <x:v>ОТКРЫТОЕ РЕШЕНИЕ</x:v>
      </x:c>
      <x:c r="O50" s="113" t="str">
        <x:v>TASK-016</x:v>
      </x:c>
    </x:row>
    <x:row r="51" ht="56" customHeight="1">
      <x:c r="A51" s="111" t="str">
        <x:v>IMP-013</x:v>
      </x:c>
      <x:c r="B51" s="112" t="str">
        <x:v>Прайсы и нормализация</x:v>
      </x:c>
      <x:c r="C51" s="112" t="str">
        <x:v>Операторский UI</x:v>
      </x:c>
      <x:c r="D51" s="112" t="str">
        <x:v>Предоставить загрузку, прогресс, review профиля, summary, строки/issues, publish и экспорт протокола.</x:v>
      </x:c>
      <x:c r="E51" s="112" t="str">
        <x:v>Функциональное</x:v>
      </x:c>
      <x:c r="F51" s="112" t="str">
        <x:v>SRC-09,SRC-11</x:v>
      </x:c>
      <x:c r="G51" s="112" t="str">
        <x:v>Baseline</x:v>
      </x:c>
      <x:c r="H51" s="146" t="str">
        <x:v>P1</x:v>
      </x:c>
      <x:c r="I51" s="112" t="str">
        <x:v>P3-P4</x:v>
      </x:c>
      <x:c r="J51" s="112" t="str">
        <x:v>Web UI</x:v>
      </x:c>
      <x:c r="K51" s="112" t="str">
        <x:v>Product owner</x:v>
      </x:c>
      <x:c r="L51" s="112" t="str">
        <x:v>Действия ограничены ролями; большие списки пагинированы; happy/error flows протестированы.</x:v>
      </x:c>
      <x:c r="M51" s="112" t="str">
        <x:v>API and auth</x:v>
      </x:c>
      <x:c r="N51" s="112" t="str">
        <x:v>ЗАПЛАНИРОВАНО</x:v>
      </x:c>
      <x:c r="O51" s="113" t="str">
        <x:v>TASK-017</x:v>
      </x:c>
    </x:row>
    <x:row r="52" ht="56" customHeight="1">
      <x:c r="A52" s="111" t="str">
        <x:v>IMP-014</x:v>
      </x:c>
      <x:c r="B52" s="112" t="str">
        <x:v>Прайсы и нормализация</x:v>
      </x:c>
      <x:c r="C52" s="112" t="str">
        <x:v>Изменение шаблона</x:v>
      </x:c>
      <x:c r="D52" s="112" t="str">
        <x:v>При изменении шапки/листа/структуры не применять старый профиль молча; отправлять на review.</x:v>
      </x:c>
      <x:c r="E52" s="112" t="str">
        <x:v>Контроль</x:v>
      </x:c>
      <x:c r="F52" s="112" t="str">
        <x:v>SRC-09,SRC-11</x:v>
      </x:c>
      <x:c r="G52" s="112" t="str">
        <x:v>Baseline</x:v>
      </x:c>
      <x:c r="H52" s="146" t="str">
        <x:v>P0</x:v>
      </x:c>
      <x:c r="I52" s="112" t="str">
        <x:v>P3-P7</x:v>
      </x:c>
      <x:c r="J52" s="112" t="str">
        <x:v>Внешний сервис</x:v>
      </x:c>
      <x:c r="K52" s="112" t="str">
        <x:v>Технический лидер</x:v>
      </x:c>
      <x:c r="L52" s="112" t="str">
        <x:v>Changed header приводит к TEMPLATE_CHANGED и не публикует пакет без решения.</x:v>
      </x:c>
      <x:c r="M52" s="112" t="str">
        <x:v>Profile detection</x:v>
      </x:c>
      <x:c r="N52" s="112" t="str">
        <x:v>НА РЕВЬЮ</x:v>
      </x:c>
      <x:c r="O52" s="113" t="str">
        <x:v>WORK-009/TASK-011</x:v>
      </x:c>
    </x:row>
    <x:row r="53" ht="56" customHeight="1">
      <x:c r="A53" s="111" t="str">
        <x:v>ORD-001</x:v>
      </x:c>
      <x:c r="B53" s="112" t="str">
        <x:v>Закупки и заказ</x:v>
      </x:c>
      <x:c r="C53" s="112" t="str">
        <x:v>Централизация заказа</x:v>
      </x:c>
      <x:c r="D53" s="112" t="str">
        <x:v>Перенести создание заказов поставщикам из магазинов в отдел категорийного менеджмента.</x:v>
      </x:c>
      <x:c r="E53" s="112" t="str">
        <x:v>Бизнес</x:v>
      </x:c>
      <x:c r="F53" s="112" t="str">
        <x:v>SRC-02,SRC-09</x:v>
      </x:c>
      <x:c r="G53" s="112" t="str">
        <x:v>Подтверждено</x:v>
      </x:c>
      <x:c r="H53" s="146" t="str">
        <x:v>P0</x:v>
      </x:c>
      <x:c r="I53" s="112" t="str">
        <x:v>P4</x:v>
      </x:c>
      <x:c r="J53" s="112" t="str">
        <x:v>Процесс + 1С</x:v>
      </x:c>
      <x:c r="K53" s="112" t="str">
        <x:v>Руководитель КМ</x:v>
      </x:c>
      <x:c r="L53" s="112" t="str">
        <x:v>Магазины не создают заказ поставщику; КМ отвечает за цикл и исключения.</x:v>
      </x:c>
      <x:c r="M53" s="112" t="str">
        <x:v>Роли и регламент</x:v>
      </x:c>
      <x:c r="N53" s="112" t="str">
        <x:v>BASELINE</x:v>
      </x:c>
      <x:c r="O53" s="113" t="str">
        <x:v>BR-001,TASK-023</x:v>
      </x:c>
    </x:row>
    <x:row r="54" ht="56" customHeight="1">
      <x:c r="A54" s="111" t="str">
        <x:v>ORD-002</x:v>
      </x:c>
      <x:c r="B54" s="112" t="str">
        <x:v>Закупки и заказ</x:v>
      </x:c>
      <x:c r="C54" s="112" t="str">
        <x:v>Источник расчёта</x:v>
      </x:c>
      <x:c r="D54" s="112" t="str">
        <x:v>Расчёт потребности и создание заказа выполнять типовым механизмом 1С:УТ, а не во внешнем сервисе.</x:v>
      </x:c>
      <x:c r="E54" s="112" t="str">
        <x:v>Архитектурное</x:v>
      </x:c>
      <x:c r="F54" s="112" t="str">
        <x:v>SRC-09,SRC-12,SRC-19</x:v>
      </x:c>
      <x:c r="G54" s="112" t="str">
        <x:v>Принято</x:v>
      </x:c>
      <x:c r="H54" s="146" t="str">
        <x:v>P0</x:v>
      </x:c>
      <x:c r="I54" s="112" t="str">
        <x:v>P4</x:v>
      </x:c>
      <x:c r="J54" s="112" t="str">
        <x:v>1С:УТ</x:v>
      </x:c>
      <x:c r="K54" s="112" t="str">
        <x:v>Владелец 1С</x:v>
      </x:c>
      <x:c r="L54" s="112" t="str">
        <x:v>Trace package → mapping → recommendation → order; service order не создаёт.</x:v>
      </x:c>
      <x:c r="M54" s="112" t="str">
        <x:v>Настройка обеспечения</x:v>
      </x:c>
      <x:c r="N54" s="112" t="str">
        <x:v>BASELINE</x:v>
      </x:c>
      <x:c r="O54" s="113" t="str">
        <x:v>TASK-023</x:v>
      </x:c>
    </x:row>
    <x:row r="55" ht="56" customHeight="1">
      <x:c r="A55" s="111" t="str">
        <x:v>ORD-003</x:v>
      </x:c>
      <x:c r="B55" s="112" t="str">
        <x:v>Закупки и заказ</x:v>
      </x:c>
      <x:c r="C55" s="112" t="str">
        <x:v>Данные расчёта</x:v>
      </x:c>
      <x:c r="D55" s="112" t="str">
        <x:v>Учитывать продажи, свободный остаток, резервы, товар в пути, страховой/целевой запас, срок поставки, MOQ и кратность.</x:v>
      </x:c>
      <x:c r="E55" s="112" t="str">
        <x:v>Методология</x:v>
      </x:c>
      <x:c r="F55" s="112" t="str">
        <x:v>SRC-02,SRC-04,SRC-08,SRC-09</x:v>
      </x:c>
      <x:c r="G55" s="112" t="str">
        <x:v>Требуется утверждение формул</x:v>
      </x:c>
      <x:c r="H55" s="146" t="str">
        <x:v>P0</x:v>
      </x:c>
      <x:c r="I55" s="112" t="str">
        <x:v>P2-P4</x:v>
      </x:c>
      <x:c r="J55" s="112" t="str">
        <x:v>1С:УТ</x:v>
      </x:c>
      <x:c r="K55" s="112" t="str">
        <x:v>КМ + закупки + финансы</x:v>
      </x:c>
      <x:c r="L55" s="112" t="str">
        <x:v>На 30–50 SKU результат воспроизводится по утверждённой формуле и сопоставлен с текущим Excel.</x:v>
      </x:c>
      <x:c r="M55" s="112" t="str">
        <x:v>D-03, D-10</x:v>
      </x:c>
      <x:c r="N55" s="112" t="str">
        <x:v>ОТКРЫТОЕ РЕШЕНИЕ</x:v>
      </x:c>
      <x:c r="O55" s="113" t="str">
        <x:v>TASK-023</x:v>
      </x:c>
    </x:row>
    <x:row r="56" ht="56" customHeight="1">
      <x:c r="A56" s="111" t="str">
        <x:v>ORD-004</x:v>
      </x:c>
      <x:c r="B56" s="112" t="str">
        <x:v>Закупки и заказ</x:v>
      </x:c>
      <x:c r="C56" s="112" t="str">
        <x:v>Параметры по товарам</x:v>
      </x:c>
      <x:c r="D56" s="112" t="str">
        <x:v>Поддерживать индивидуальные исключения: сезонность, срок годности, статус новинки, KVI, промо, незаказываемый товар, локальная матрица.</x:v>
      </x:c>
      <x:c r="E56" s="112" t="str">
        <x:v>Функциональное</x:v>
      </x:c>
      <x:c r="F56" s="112" t="str">
        <x:v>SRC-08</x:v>
      </x:c>
      <x:c r="G56" s="112" t="str">
        <x:v>Исходное требование; требует приоритизации</x:v>
      </x:c>
      <x:c r="H56" s="146" t="str">
        <x:v>P1</x:v>
      </x:c>
      <x:c r="I56" s="112" t="str">
        <x:v>P2-P4</x:v>
      </x:c>
      <x:c r="J56" s="112" t="str">
        <x:v>1С:УТ</x:v>
      </x:c>
      <x:c r="K56" s="112" t="str">
        <x:v>Категорийный менеджер</x:v>
      </x:c>
      <x:c r="L56" s="112" t="str">
        <x:v>Исключение имеет срок, основание, автора и влияет на расчёт объяснимо.</x:v>
      </x:c>
      <x:c r="M56" s="112" t="str">
        <x:v>Классификаторы и роли</x:v>
      </x:c>
      <x:c r="N56" s="112" t="str">
        <x:v>ТРЕБУЕТ ВЕРИФИКАЦИИ</x:v>
      </x:c>
      <x:c r="O56" s="113" t="str">
        <x:v>TASK-023</x:v>
      </x:c>
    </x:row>
    <x:row r="57" ht="56" customHeight="1">
      <x:c r="A57" s="111" t="str">
        <x:v>ORD-005</x:v>
      </x:c>
      <x:c r="B57" s="112" t="str">
        <x:v>Закупки и заказ</x:v>
      </x:c>
      <x:c r="C57" s="112" t="str">
        <x:v>Рекомендация и корректировка</x:v>
      </x:c>
      <x:c r="D57" s="112" t="str">
        <x:v>Показывать рассчитанное количество, причины, исходные показатели и разрешать контролируемую ручную корректировку.</x:v>
      </x:c>
      <x:c r="E57" s="112" t="str">
        <x:v>Функциональное</x:v>
      </x:c>
      <x:c r="F57" s="112" t="str">
        <x:v>SRC-08,SRC-09</x:v>
      </x:c>
      <x:c r="G57" s="112" t="str">
        <x:v>Baseline</x:v>
      </x:c>
      <x:c r="H57" s="146" t="str">
        <x:v>P0</x:v>
      </x:c>
      <x:c r="I57" s="112" t="str">
        <x:v>P4</x:v>
      </x:c>
      <x:c r="J57" s="112" t="str">
        <x:v>1С workspace</x:v>
      </x:c>
      <x:c r="K57" s="112" t="str">
        <x:v>Категорийный менеджер</x:v>
      </x:c>
      <x:c r="L57" s="112" t="str">
        <x:v>Каждая корректировка содержит before/after, пользователя, время и комментарий при превышении порога.</x:v>
      </x:c>
      <x:c r="M57" s="112" t="str">
        <x:v>Порог согласования</x:v>
      </x:c>
      <x:c r="N57" s="112" t="str">
        <x:v>BASELINE</x:v>
      </x:c>
      <x:c r="O57" s="113" t="str">
        <x:v>TASK-021,TASK-023</x:v>
      </x:c>
    </x:row>
    <x:row r="58" ht="56" customHeight="1">
      <x:c r="A58" s="111" t="str">
        <x:v>ORD-006</x:v>
      </x:c>
      <x:c r="B58" s="112" t="str">
        <x:v>Закупки и заказ</x:v>
      </x:c>
      <x:c r="C58" s="112" t="str">
        <x:v>Исключения</x:v>
      </x:c>
      <x:c r="D58" s="112" t="str">
        <x:v>КМ должен работать прежде всего со строками без mapping, новинками, blocking DQ, price/packaging deviations и нулевой рекомендацией.</x:v>
      </x:c>
      <x:c r="E58" s="112" t="str">
        <x:v>Бизнес</x:v>
      </x:c>
      <x:c r="F58" s="112" t="str">
        <x:v>SRC-09</x:v>
      </x:c>
      <x:c r="G58" s="112" t="str">
        <x:v>Baseline</x:v>
      </x:c>
      <x:c r="H58" s="146" t="str">
        <x:v>P1</x:v>
      </x:c>
      <x:c r="I58" s="112" t="str">
        <x:v>P4</x:v>
      </x:c>
      <x:c r="J58" s="112" t="str">
        <x:v>1С workspace</x:v>
      </x:c>
      <x:c r="K58" s="112" t="str">
        <x:v>Категорийный менеджер</x:v>
      </x:c>
      <x:c r="L58" s="112" t="str">
        <x:v>Основной экран имеет exception-only view и массовые действия для однозначных строк.</x:v>
      </x:c>
      <x:c r="M58" s="112" t="str">
        <x:v>Staging and mapping</x:v>
      </x:c>
      <x:c r="N58" s="112" t="str">
        <x:v>BASELINE</x:v>
      </x:c>
      <x:c r="O58" s="113" t="str">
        <x:v>TASK-021</x:v>
      </x:c>
    </x:row>
    <x:row r="59" ht="56" customHeight="1">
      <x:c r="A59" s="111" t="str">
        <x:v>ORD-007</x:v>
      </x:c>
      <x:c r="B59" s="112" t="str">
        <x:v>Закупки и заказ</x:v>
      </x:c>
      <x:c r="C59" s="112" t="str">
        <x:v>Порог заказа</x:v>
      </x:c>
      <x:c r="D59" s="112" t="str">
        <x:v>Поддерживать минимальную сумму/объём заказа, условия бесплатной доставки и пороговые цены поставщика.</x:v>
      </x:c>
      <x:c r="E59" s="112" t="str">
        <x:v>Методология</x:v>
      </x:c>
      <x:c r="F59" s="112" t="str">
        <x:v>SRC-08,SRC-16</x:v>
      </x:c>
      <x:c r="G59" s="112" t="str">
        <x:v>Требуется решение</x:v>
      </x:c>
      <x:c r="H59" s="146" t="str">
        <x:v>P1</x:v>
      </x:c>
      <x:c r="I59" s="112" t="str">
        <x:v>P2-P4</x:v>
      </x:c>
      <x:c r="J59" s="112" t="str">
        <x:v>1С:УТ</x:v>
      </x:c>
      <x:c r="K59" s="112" t="str">
        <x:v>Закупки + КМ</x:v>
      </x:c>
      <x:c r="L59" s="112" t="str">
        <x:v>Правила поставщика версионированы; рекомендация объясняет достижение/недостижение порога.</x:v>
      </x:c>
      <x:c r="M59" s="112" t="str">
        <x:v>D-04 правила цены</x:v>
      </x:c>
      <x:c r="N59" s="112" t="str">
        <x:v>ОТКРЫТОЕ РЕШЕНИЕ</x:v>
      </x:c>
      <x:c r="O59" s="113" t="str">
        <x:v>D-04,TASK-023</x:v>
      </x:c>
    </x:row>
    <x:row r="60" ht="56" customHeight="1">
      <x:c r="A60" s="111" t="str">
        <x:v>ORD-008</x:v>
      </x:c>
      <x:c r="B60" s="112" t="str">
        <x:v>Закупки и заказ</x:v>
      </x:c>
      <x:c r="C60" s="112" t="str">
        <x:v>Сравнение поставщиков</x:v>
      </x:c>
      <x:c r="D60" s="112" t="str">
        <x:v>Для взаимозаменяемого ассортимента показывать цену, наличие, срок, упаковку и сервисный уровень альтернативных поставщиков.</x:v>
      </x:c>
      <x:c r="E60" s="112" t="str">
        <x:v>Функциональное</x:v>
      </x:c>
      <x:c r="F60" s="112" t="str">
        <x:v>SRC-08</x:v>
      </x:c>
      <x:c r="G60" s="112" t="str">
        <x:v>Исходное пожелание</x:v>
      </x:c>
      <x:c r="H60" s="146" t="str">
        <x:v>P2</x:v>
      </x:c>
      <x:c r="I60" s="112" t="str">
        <x:v>P6</x:v>
      </x:c>
      <x:c r="J60" s="112" t="str">
        <x:v>BI / 1С</x:v>
      </x:c>
      <x:c r="K60" s="112" t="str">
        <x:v>Закупки</x:v>
      </x:c>
      <x:c r="L60" s="112" t="str">
        <x:v>Сравнение использует одинаковую единицу и дату; выбранный поставщик фиксируется.</x:v>
      </x:c>
      <x:c r="M60" s="112" t="str">
        <x:v>Нормализация единиц</x:v>
      </x:c>
      <x:c r="N60" s="112" t="str">
        <x:v>ТРЕБУЕТ ВЕРИФИКАЦИИ</x:v>
      </x:c>
      <x:c r="O60" s="113" t="str">
        <x:v>Future wave</x:v>
      </x:c>
    </x:row>
    <x:row r="61" ht="56" customHeight="1">
      <x:c r="A61" s="111" t="str">
        <x:v>ORD-009</x:v>
      </x:c>
      <x:c r="B61" s="112" t="str">
        <x:v>Закупки и заказ</x:v>
      </x:c>
      <x:c r="C61" s="112" t="str">
        <x:v>Черновик заказа</x:v>
      </x:c>
      <x:c r="D61" s="112" t="str">
        <x:v>После подтверждения решений создавать один идемпотентный черновик типового заказа поставщику.</x:v>
      </x:c>
      <x:c r="E61" s="112" t="str">
        <x:v>Функциональное</x:v>
      </x:c>
      <x:c r="F61" s="112" t="str">
        <x:v>SRC-09,SRC-12</x:v>
      </x:c>
      <x:c r="G61" s="112" t="str">
        <x:v>Baseline</x:v>
      </x:c>
      <x:c r="H61" s="146" t="str">
        <x:v>P0</x:v>
      </x:c>
      <x:c r="I61" s="112" t="str">
        <x:v>P4</x:v>
      </x:c>
      <x:c r="J61" s="112" t="str">
        <x:v>1С:УТ</x:v>
      </x:c>
      <x:c r="K61" s="112" t="str">
        <x:v>Категорийный менеджер</x:v>
      </x:c>
      <x:c r="L61" s="112" t="str">
        <x:v>Повтор команды создаёт один документ; package ID и mapping trace доступны из заказа.</x:v>
      </x:c>
      <x:c r="M61" s="112" t="str">
        <x:v>Типовой документ и права</x:v>
      </x:c>
      <x:c r="N61" s="112" t="str">
        <x:v>BASELINE</x:v>
      </x:c>
      <x:c r="O61" s="113" t="str">
        <x:v>TASK-023</x:v>
      </x:c>
    </x:row>
    <x:row r="62" ht="56" customHeight="1">
      <x:c r="A62" s="111" t="str">
        <x:v>ORD-010</x:v>
      </x:c>
      <x:c r="B62" s="112" t="str">
        <x:v>Закупки и заказ</x:v>
      </x:c>
      <x:c r="C62" s="112" t="str">
        <x:v>Цикл заказа</x:v>
      </x:c>
      <x:c r="D62" s="112" t="str">
        <x:v>Поддерживать плановый календарь двух циклов заказа в неделю, cut-off, ответственных и статус обработки каждого поставщика.</x:v>
      </x:c>
      <x:c r="E62" s="112" t="str">
        <x:v>Организационное</x:v>
      </x:c>
      <x:c r="F62" s="112" t="str">
        <x:v>SRC-09</x:v>
      </x:c>
      <x:c r="G62" s="112" t="str">
        <x:v>Baseline по масштабу</x:v>
      </x:c>
      <x:c r="H62" s="146" t="str">
        <x:v>P1</x:v>
      </x:c>
      <x:c r="I62" s="112" t="str">
        <x:v>P2-P4</x:v>
      </x:c>
      <x:c r="J62" s="112" t="str">
        <x:v>Процесс / 1С</x:v>
      </x:c>
      <x:c r="K62" s="112" t="str">
        <x:v>Руководитель КМ</x:v>
      </x:c>
      <x:c r="L62" s="112" t="str">
        <x:v>Дашборд показывает cycle status, просрочки и ответственного; незакрытый поставщик видим.</x:v>
      </x:c>
      <x:c r="M62" s="112" t="str">
        <x:v>Регламент КМ</x:v>
      </x:c>
      <x:c r="N62" s="112" t="str">
        <x:v>BASELINE</x:v>
      </x:c>
      <x:c r="O62" s="113" t="str">
        <x:v>TASK-017/TASK-023</x:v>
      </x:c>
    </x:row>
    <x:row r="63" ht="56" customHeight="1">
      <x:c r="A63" s="111" t="str">
        <x:v>ORD-011</x:v>
      </x:c>
      <x:c r="B63" s="112" t="str">
        <x:v>Закупки и заказ</x:v>
      </x:c>
      <x:c r="C63" s="112" t="str">
        <x:v>Контроль поставщика</x:v>
      </x:c>
      <x:c r="D63" s="112" t="str">
        <x:v>Фиксировать подтверждение заказа, обещанный срок, изменённое количество/цену, отказ и фактическое исполнение.</x:v>
      </x:c>
      <x:c r="E63" s="112" t="str">
        <x:v>Функциональное</x:v>
      </x:c>
      <x:c r="F63" s="112" t="str">
        <x:v>SRC-02,SRC-08</x:v>
      </x:c>
      <x:c r="G63" s="112" t="str">
        <x:v>Частично подтверждено</x:v>
      </x:c>
      <x:c r="H63" s="146" t="str">
        <x:v>P1</x:v>
      </x:c>
      <x:c r="I63" s="112" t="str">
        <x:v>P4-P6</x:v>
      </x:c>
      <x:c r="J63" s="112" t="str">
        <x:v>1С / закупки</x:v>
      </x:c>
      <x:c r="K63" s="112" t="str">
        <x:v>Закупки</x:v>
      </x:c>
      <x:c r="L63" s="112" t="str">
        <x:v>Order line сравнивается с receipt и включает supplier confirmation status.</x:v>
      </x:c>
      <x:c r="M63" s="112" t="str">
        <x:v>Интеграция с приёмкой</x:v>
      </x:c>
      <x:c r="N63" s="112" t="str">
        <x:v>BASELINE</x:v>
      </x:c>
      <x:c r="O63" s="113" t="str">
        <x:v>TASK-030,TASK-032</x:v>
      </x:c>
    </x:row>
    <x:row r="64" ht="56" customHeight="1">
      <x:c r="A64" s="111" t="str">
        <x:v>ORD-012</x:v>
      </x:c>
      <x:c r="B64" s="112" t="str">
        <x:v>Закупки и заказ</x:v>
      </x:c>
      <x:c r="C64" s="112" t="str">
        <x:v>Метрики заказа</x:v>
      </x:c>
      <x:c r="D64" s="112" t="str">
        <x:v>Измерять время цикла, долю ручных строк, точность рекомендации, дефицит, излишки и сервисный уровень.</x:v>
      </x:c>
      <x:c r="E64" s="112" t="str">
        <x:v>BI</x:v>
      </x:c>
      <x:c r="F64" s="112" t="str">
        <x:v>SRC-09</x:v>
      </x:c>
      <x:c r="G64" s="112" t="str">
        <x:v>Синтез требований</x:v>
      </x:c>
      <x:c r="H64" s="146" t="str">
        <x:v>P1</x:v>
      </x:c>
      <x:c r="I64" s="112" t="str">
        <x:v>P4-P7</x:v>
      </x:c>
      <x:c r="J64" s="112" t="str">
        <x:v>BI</x:v>
      </x:c>
      <x:c r="K64" s="112" t="str">
        <x:v>Руководитель КМ</x:v>
      </x:c>
      <x:c r="L64" s="112" t="str">
        <x:v>Показатели имеют источники и сравниваются до/после пилота.</x:v>
      </x:c>
      <x:c r="M64" s="112" t="str">
        <x:v>Методология KPI</x:v>
      </x:c>
      <x:c r="N64" s="112" t="str">
        <x:v>BASELINE</x:v>
      </x:c>
      <x:c r="O64" s="113" t="str">
        <x:v>TASK-024</x:v>
      </x:c>
    </x:row>
    <x:row r="65" ht="56" customHeight="1">
      <x:c r="A65" s="111" t="str">
        <x:v>PRC-001</x:v>
      </x:c>
      <x:c r="B65" s="112" t="str">
        <x:v>Цены и маржинальность</x:v>
      </x:c>
      <x:c r="C65" s="112" t="str">
        <x:v>Виды цен</x:v>
      </x:c>
      <x:c r="D65" s="112" t="str">
        <x:v>Утвердить базовую, локальную, промо, партнёрскую и markdown-цены, их приоритеты и область действия.</x:v>
      </x:c>
      <x:c r="E65" s="112" t="str">
        <x:v>Методология</x:v>
      </x:c>
      <x:c r="F65" s="112" t="str">
        <x:v>SRC-02,SRC-08</x:v>
      </x:c>
      <x:c r="G65" s="112" t="str">
        <x:v>Требует утверждения</x:v>
      </x:c>
      <x:c r="H65" s="146" t="str">
        <x:v>P0</x:v>
      </x:c>
      <x:c r="I65" s="112" t="str">
        <x:v>P2</x:v>
      </x:c>
      <x:c r="J65" s="112" t="str">
        <x:v>1С / НСИ</x:v>
      </x:c>
      <x:c r="K65" s="112" t="str">
        <x:v>Коммерческий директор</x:v>
      </x:c>
      <x:c r="L65" s="112" t="str">
        <x:v>Матрица видов цен содержит владельца, юрлицо, регион, период и правило приоритета.</x:v>
      </x:c>
      <x:c r="M65" s="112" t="str">
        <x:v>Политика ценообразования</x:v>
      </x:c>
      <x:c r="N65" s="112" t="str">
        <x:v>ОТКРЫТОЕ РЕШЕНИЕ</x:v>
      </x:c>
      <x:c r="O65" s="113" t="str">
        <x:v>D-04</x:v>
      </x:c>
    </x:row>
    <x:row r="66" ht="56" customHeight="1">
      <x:c r="A66" s="111" t="str">
        <x:v>PRC-002</x:v>
      </x:c>
      <x:c r="B66" s="112" t="str">
        <x:v>Цены и маржинальность</x:v>
      </x:c>
      <x:c r="C66" s="112" t="str">
        <x:v>Закупочная цена</x:v>
      </x:c>
      <x:c r="D66" s="112" t="str">
        <x:v>Импортировать цену поставщика в staging, различать текущую, будущую и пороговую цену; не применять без подтверждения.</x:v>
      </x:c>
      <x:c r="E66" s="112" t="str">
        <x:v>Функциональное</x:v>
      </x:c>
      <x:c r="F66" s="112" t="str">
        <x:v>SRC-08,SRC-09</x:v>
      </x:c>
      <x:c r="G66" s="112" t="str">
        <x:v>Baseline</x:v>
      </x:c>
      <x:c r="H66" s="146" t="str">
        <x:v>P0</x:v>
      </x:c>
      <x:c r="I66" s="112" t="str">
        <x:v>P3-P4</x:v>
      </x:c>
      <x:c r="J66" s="112" t="str">
        <x:v>Сервис + 1С</x:v>
      </x:c>
      <x:c r="K66" s="112" t="str">
        <x:v>Категорийный менеджер</x:v>
      </x:c>
      <x:c r="L66" s="112" t="str">
        <x:v>Price row имеет валюту, единицу, период, источник; изменение типовой цены после approval.</x:v>
      </x:c>
      <x:c r="M66" s="112" t="str">
        <x:v>Профили и mapping</x:v>
      </x:c>
      <x:c r="N66" s="112" t="str">
        <x:v>BASELINE</x:v>
      </x:c>
      <x:c r="O66" s="113" t="str">
        <x:v>TASK-022</x:v>
      </x:c>
    </x:row>
    <x:row r="67" ht="56" customHeight="1">
      <x:c r="A67" s="111" t="str">
        <x:v>PRC-003</x:v>
      </x:c>
      <x:c r="B67" s="112" t="str">
        <x:v>Цены и маржинальность</x:v>
      </x:c>
      <x:c r="C67" s="112" t="str">
        <x:v>Полная себестоимость</x:v>
      </x:c>
      <x:c r="D67" s="112" t="str">
        <x:v>Утвердить источник закупочной/фактической себестоимости, доставку, таможню, фрахт и распределяемые расходы.</x:v>
      </x:c>
      <x:c r="E67" s="112" t="str">
        <x:v>Методология</x:v>
      </x:c>
      <x:c r="F67" s="112" t="str">
        <x:v>SRC-01,SRC-05</x:v>
      </x:c>
      <x:c r="G67" s="112" t="str">
        <x:v>Требует верификации</x:v>
      </x:c>
      <x:c r="H67" s="146" t="str">
        <x:v>P0</x:v>
      </x:c>
      <x:c r="I67" s="112" t="str">
        <x:v>P2-P6</x:v>
      </x:c>
      <x:c r="J67" s="112" t="str">
        <x:v>1С / финансы</x:v>
      </x:c>
      <x:c r="K67" s="112" t="str">
        <x:v>Финансовый директор</x:v>
      </x:c>
      <x:c r="L67" s="112" t="str">
        <x:v>Для контрольных SKU формула воспроизводится от первичных документов до итоговой стоимости.</x:v>
      </x:c>
      <x:c r="M67" s="112" t="str">
        <x:v>Закрытие и импорт</x:v>
      </x:c>
      <x:c r="N67" s="112" t="str">
        <x:v>ОТКРЫТОЕ РЕШЕНИЕ</x:v>
      </x:c>
      <x:c r="O67" s="113" t="str">
        <x:v>FIN-cost</x:v>
      </x:c>
    </x:row>
    <x:row r="68" ht="56" customHeight="1">
      <x:c r="A68" s="111" t="str">
        <x:v>PRC-004</x:v>
      </x:c>
      <x:c r="B68" s="112" t="str">
        <x:v>Цены и маржинальность</x:v>
      </x:c>
      <x:c r="C68" s="112" t="str">
        <x:v>Минимальная маржа</x:v>
      </x:c>
      <x:c r="D68" s="112" t="str">
        <x:v>Задать минимальную/целевую маржу по категории, бренду, региону и исключениям с согласованием.</x:v>
      </x:c>
      <x:c r="E68" s="112" t="str">
        <x:v>Методология</x:v>
      </x:c>
      <x:c r="F68" s="112" t="str">
        <x:v>SRC-08</x:v>
      </x:c>
      <x:c r="G68" s="112" t="str">
        <x:v>Исходное требование</x:v>
      </x:c>
      <x:c r="H68" s="146" t="str">
        <x:v>P1</x:v>
      </x:c>
      <x:c r="I68" s="112" t="str">
        <x:v>P2-P6</x:v>
      </x:c>
      <x:c r="J68" s="112" t="str">
        <x:v>1С / BI</x:v>
      </x:c>
      <x:c r="K68" s="112" t="str">
        <x:v>Коммерческий директор</x:v>
      </x:c>
      <x:c r="L68" s="112" t="str">
        <x:v>Цена ниже порога требует роли/причины/срока; отчёт показывает нарушения.</x:v>
      </x:c>
      <x:c r="M68" s="112" t="str">
        <x:v>Проверка налогов и скидок</x:v>
      </x:c>
      <x:c r="N68" s="112" t="str">
        <x:v>ТРЕБУЕТ ВЕРИФИКАЦИИ</x:v>
      </x:c>
      <x:c r="O68" s="113" t="str">
        <x:v>Future pricing</x:v>
      </x:c>
    </x:row>
    <x:row r="69" ht="56" customHeight="1">
      <x:c r="A69" s="111" t="str">
        <x:v>PRC-005</x:v>
      </x:c>
      <x:c r="B69" s="112" t="str">
        <x:v>Цены и маржинальность</x:v>
      </x:c>
      <x:c r="C69" s="112" t="str">
        <x:v>Переоценка</x:v>
      </x:c>
      <x:c r="D69" s="112" t="str">
        <x:v>Поддерживать шаблоны изменения цены на процент/сумму, период действия, preview, approval и rollback.</x:v>
      </x:c>
      <x:c r="E69" s="112" t="str">
        <x:v>Функциональное</x:v>
      </x:c>
      <x:c r="F69" s="112" t="str">
        <x:v>SRC-08</x:v>
      </x:c>
      <x:c r="G69" s="112" t="str">
        <x:v>Исходное требование</x:v>
      </x:c>
      <x:c r="H69" s="146" t="str">
        <x:v>P1</x:v>
      </x:c>
      <x:c r="I69" s="112" t="str">
        <x:v>P6</x:v>
      </x:c>
      <x:c r="J69" s="112" t="str">
        <x:v>1С</x:v>
      </x:c>
      <x:c r="K69" s="112" t="str">
        <x:v>Коммерческий директор</x:v>
      </x:c>
      <x:c r="L69" s="112" t="str">
        <x:v>До проведения доступно сравнение old/new и затронутых магазинов; rollback протестирован.</x:v>
      </x:c>
      <x:c r="M69" s="112" t="str">
        <x:v>Роли и кассовый обмен</x:v>
      </x:c>
      <x:c r="N69" s="112" t="str">
        <x:v>ТРЕБУЕТ ВЕРИФИКАЦИИ</x:v>
      </x:c>
      <x:c r="O69" s="113" t="str">
        <x:v>Future pricing</x:v>
      </x:c>
    </x:row>
    <x:row r="70" ht="56" customHeight="1">
      <x:c r="A70" s="111" t="str">
        <x:v>PRC-006</x:v>
      </x:c>
      <x:c r="B70" s="112" t="str">
        <x:v>Цены и маржинальность</x:v>
      </x:c>
      <x:c r="C70" s="112" t="str">
        <x:v>Срок годности</x:v>
      </x:c>
      <x:c r="D70" s="112" t="str">
        <x:v>Для markdown по сроку годности задавать ступени скидки, даты, партии и запрет продаж после критической даты.</x:v>
      </x:c>
      <x:c r="E70" s="112" t="str">
        <x:v>Функциональное</x:v>
      </x:c>
      <x:c r="F70" s="112" t="str">
        <x:v>SRC-08</x:v>
      </x:c>
      <x:c r="G70" s="112" t="str">
        <x:v>Исходное требование</x:v>
      </x:c>
      <x:c r="H70" s="146" t="str">
        <x:v>P2</x:v>
      </x:c>
      <x:c r="I70" s="112" t="str">
        <x:v>P5-P6</x:v>
      </x:c>
      <x:c r="J70" s="112" t="str">
        <x:v>1С:Розница / УТ</x:v>
      </x:c>
      <x:c r="K70" s="112" t="str">
        <x:v>КМ + магазины</x:v>
      </x:c>
      <x:c r="L70" s="112" t="str">
        <x:v>Правило действует на серию/партию и видно в кассовом контуре.</x:v>
      </x:c>
      <x:c r="M70" s="112" t="str">
        <x:v>Учёт серий/сроков</x:v>
      </x:c>
      <x:c r="N70" s="112" t="str">
        <x:v>ТРЕБУЕТ ВЕРИФИКАЦИИ</x:v>
      </x:c>
      <x:c r="O70" s="113" t="str">
        <x:v>D-RCV-06</x:v>
      </x:c>
    </x:row>
    <x:row r="71" ht="56" customHeight="1">
      <x:c r="A71" s="111" t="str">
        <x:v>PRC-007</x:v>
      </x:c>
      <x:c r="B71" s="112" t="str">
        <x:v>Цены и маржинальность</x:v>
      </x:c>
      <x:c r="C71" s="112" t="str">
        <x:v>История цен</x:v>
      </x:c>
      <x:c r="D71" s="112" t="str">
        <x:v>Хранить историю цены, источник, автора, документ, период и причину; исключить перезапись без аудита.</x:v>
      </x:c>
      <x:c r="E71" s="112" t="str">
        <x:v>Контроль</x:v>
      </x:c>
      <x:c r="F71" s="112" t="str">
        <x:v>SRC-08,SRC-09</x:v>
      </x:c>
      <x:c r="G71" s="112" t="str">
        <x:v>Baseline</x:v>
      </x:c>
      <x:c r="H71" s="146" t="str">
        <x:v>P1</x:v>
      </x:c>
      <x:c r="I71" s="112" t="str">
        <x:v>P4-P6</x:v>
      </x:c>
      <x:c r="J71" s="112" t="str">
        <x:v>1С</x:v>
      </x:c>
      <x:c r="K71" s="112" t="str">
        <x:v>Владелец 1С</x:v>
      </x:c>
      <x:c r="L71" s="112" t="str">
        <x:v>Из карточки SKU доступна хронология и документы-основания.</x:v>
      </x:c>
      <x:c r="M71" s="112" t="str">
        <x:v>Регистры цен</x:v>
      </x:c>
      <x:c r="N71" s="112" t="str">
        <x:v>BASELINE</x:v>
      </x:c>
      <x:c r="O71" s="113" t="str">
        <x:v>TASK-022</x:v>
      </x:c>
    </x:row>
    <x:row r="72" ht="56" customHeight="1">
      <x:c r="A72" s="111" t="str">
        <x:v>PRC-008</x:v>
      </x:c>
      <x:c r="B72" s="112" t="str">
        <x:v>Цены и маржинальность</x:v>
      </x:c>
      <x:c r="C72" s="112" t="str">
        <x:v>Маржа в отчётах</x:v>
      </x:c>
      <x:c r="D72" s="112" t="str">
        <x:v>Маржинальность считать по утверждённой себестоимости с учётом НДС, скидок, возвратов и периода.</x:v>
      </x:c>
      <x:c r="E72" s="112" t="str">
        <x:v>Методология</x:v>
      </x:c>
      <x:c r="F72" s="112" t="str">
        <x:v>SRC-02,SRC-07,SRC-08</x:v>
      </x:c>
      <x:c r="G72" s="112" t="str">
        <x:v>Показатель нужен, методика не утверждена</x:v>
      </x:c>
      <x:c r="H72" s="146" t="str">
        <x:v>P0</x:v>
      </x:c>
      <x:c r="I72" s="112" t="str">
        <x:v>P2-P6</x:v>
      </x:c>
      <x:c r="J72" s="112" t="str">
        <x:v>BI / 1С</x:v>
      </x:c>
      <x:c r="K72" s="112" t="str">
        <x:v>Финансовый директор</x:v>
      </x:c>
      <x:c r="L72" s="112" t="str">
        <x:v>Формула и тестовый набор утверждены; отчёт сверяется с проводками/регистрами.</x:v>
      </x:c>
      <x:c r="M72" s="112" t="str">
        <x:v>Формулы P&amp;L</x:v>
      </x:c>
      <x:c r="N72" s="112" t="str">
        <x:v>ОТКРЫТОЕ РЕШЕНИЕ</x:v>
      </x:c>
      <x:c r="O72" s="113" t="str">
        <x:v>G2/G6</x:v>
      </x:c>
    </x:row>
    <x:row r="73" ht="56" customHeight="1">
      <x:c r="A73" s="111" t="str">
        <x:v>PRC-009</x:v>
      </x:c>
      <x:c r="B73" s="112" t="str">
        <x:v>Цены и маржинальность</x:v>
      </x:c>
      <x:c r="C73" s="112" t="str">
        <x:v>Сравнение единиц</x:v>
      </x:c>
      <x:c r="D73" s="112" t="str">
        <x:v>Все ценовые сравнения приводить к единой базовой единице, не смешивать цену за штуку и короб.</x:v>
      </x:c>
      <x:c r="E73" s="112" t="str">
        <x:v>Контроль данных</x:v>
      </x:c>
      <x:c r="F73" s="112" t="str">
        <x:v>SRC-08,SRC-09</x:v>
      </x:c>
      <x:c r="G73" s="112" t="str">
        <x:v>Baseline</x:v>
      </x:c>
      <x:c r="H73" s="146" t="str">
        <x:v>P0</x:v>
      </x:c>
      <x:c r="I73" s="112" t="str">
        <x:v>P3-P6</x:v>
      </x:c>
      <x:c r="J73" s="112" t="str">
        <x:v>Сервис + BI</x:v>
      </x:c>
      <x:c r="K73" s="112" t="str">
        <x:v>КМ</x:v>
      </x:c>
      <x:c r="L73" s="112" t="str">
        <x:v>В отчёте указаны исходная и пересчитанная единица/коэффициент; неверная упаковка блокирует сравнение.</x:v>
      </x:c>
      <x:c r="M73" s="112" t="str">
        <x:v>MDM упаковок</x:v>
      </x:c>
      <x:c r="N73" s="112" t="str">
        <x:v>BASELINE</x:v>
      </x:c>
      <x:c r="O73" s="113" t="str">
        <x:v>TASK-013,TASK-022</x:v>
      </x:c>
    </x:row>
    <x:row r="74" ht="56" customHeight="1">
      <x:c r="A74" s="111" t="str">
        <x:v>PRC-010</x:v>
      </x:c>
      <x:c r="B74" s="112" t="str">
        <x:v>Цены и маржинальность</x:v>
      </x:c>
      <x:c r="C74" s="112" t="str">
        <x:v>Контроль изменения</x:v>
      </x:c>
      <x:c r="D74" s="112" t="str">
        <x:v>Существенное отклонение закупочной или розничной цены от истории должно формировать exception.</x:v>
      </x:c>
      <x:c r="E74" s="112" t="str">
        <x:v>Контроль</x:v>
      </x:c>
      <x:c r="F74" s="112" t="str">
        <x:v>SRC-08</x:v>
      </x:c>
      <x:c r="G74" s="112" t="str">
        <x:v>Синтез требования</x:v>
      </x:c>
      <x:c r="H74" s="146" t="str">
        <x:v>P1</x:v>
      </x:c>
      <x:c r="I74" s="112" t="str">
        <x:v>P4-P6</x:v>
      </x:c>
      <x:c r="J74" s="112" t="str">
        <x:v>1С / BI</x:v>
      </x:c>
      <x:c r="K74" s="112" t="str">
        <x:v>Коммерческий директор</x:v>
      </x:c>
      <x:c r="L74" s="112" t="str">
        <x:v>Порог настраивается; exception содержит старую/новую цену, % и ответственного.</x:v>
      </x:c>
      <x:c r="M74" s="112" t="str">
        <x:v>Порог и классификация</x:v>
      </x:c>
      <x:c r="N74" s="112" t="str">
        <x:v>BASELINE</x:v>
      </x:c>
      <x:c r="O74" s="113" t="str">
        <x:v>TASK-014/TASK-022</x:v>
      </x:c>
    </x:row>
    <x:row r="75" ht="56" customHeight="1">
      <x:c r="A75" s="111" t="str">
        <x:v>INV-001</x:v>
      </x:c>
      <x:c r="B75" s="112" t="str">
        <x:v>Остатки, склад и движение</x:v>
      </x:c>
      <x:c r="C75" s="112" t="str">
        <x:v>Свободный остаток</x:v>
      </x:c>
      <x:c r="D75" s="112" t="str">
        <x:v>В отчётах и расчёте различать физический, резерв, доступный, отрицательный остаток и товар в пути.</x:v>
      </x:c>
      <x:c r="E75" s="112" t="str">
        <x:v>Данные</x:v>
      </x:c>
      <x:c r="F75" s="112" t="str">
        <x:v>SRC-02,SRC-04,SRC-07,SRC-09</x:v>
      </x:c>
      <x:c r="G75" s="112" t="str">
        <x:v>Подтверждено</x:v>
      </x:c>
      <x:c r="H75" s="146" t="str">
        <x:v>P0</x:v>
      </x:c>
      <x:c r="I75" s="112" t="str">
        <x:v>P2-P6</x:v>
      </x:c>
      <x:c r="J75" s="112" t="str">
        <x:v>1С / BI</x:v>
      </x:c>
      <x:c r="K75" s="112" t="str">
        <x:v>Склад + КМ</x:v>
      </x:c>
      <x:c r="L75" s="112" t="str">
        <x:v>Для контрольного SKU значения сверяются с движениями и документами.</x:v>
      </x:c>
      <x:c r="M75" s="112" t="str">
        <x:v>Определение регистров</x:v>
      </x:c>
      <x:c r="N75" s="112" t="str">
        <x:v>BASELINE</x:v>
      </x:c>
      <x:c r="O75" s="113" t="str">
        <x:v>G2/TASK-023</x:v>
      </x:c>
    </x:row>
    <x:row r="76" ht="56" customHeight="1">
      <x:c r="A76" s="111" t="str">
        <x:v>INV-002</x:v>
      </x:c>
      <x:c r="B76" s="112" t="str">
        <x:v>Остатки, склад и движение</x:v>
      </x:c>
      <x:c r="C76" s="112" t="str">
        <x:v>Отрицательные остатки</x:v>
      </x:c>
      <x:c r="D76" s="112" t="str">
        <x:v>Формировать реестр отрицательных остатков с причиной, ответственным, сроком и подтверждением исправления.</x:v>
      </x:c>
      <x:c r="E76" s="112" t="str">
        <x:v>Контроль</x:v>
      </x:c>
      <x:c r="F76" s="112" t="str">
        <x:v>SRC-05,SRC-06,SRC-07</x:v>
      </x:c>
      <x:c r="G76" s="112" t="str">
        <x:v>Подтверждено</x:v>
      </x:c>
      <x:c r="H76" s="146" t="str">
        <x:v>P0</x:v>
      </x:c>
      <x:c r="I76" s="112" t="str">
        <x:v>P1-P6</x:v>
      </x:c>
      <x:c r="J76" s="112" t="str">
        <x:v>1С / BI</x:v>
      </x:c>
      <x:c r="K76" s="112" t="str">
        <x:v>Финансы + склад</x:v>
      </x:c>
      <x:c r="L76" s="112" t="str">
        <x:v>Нет существенных просроченных P0; закрытие позиции подтверждается повторной проверкой.</x:v>
      </x:c>
      <x:c r="M76" s="112" t="str">
        <x:v>Классификатор причин</x:v>
      </x:c>
      <x:c r="N76" s="112" t="str">
        <x:v>BASELINE</x:v>
      </x:c>
      <x:c r="O76" s="113" t="str">
        <x:v>P1/G6</x:v>
      </x:c>
    </x:row>
    <x:row r="77" ht="56" customHeight="1">
      <x:c r="A77" s="111" t="str">
        <x:v>INV-003</x:v>
      </x:c>
      <x:c r="B77" s="112" t="str">
        <x:v>Остатки, склад и движение</x:v>
      </x:c>
      <x:c r="C77" s="112" t="str">
        <x:v>Запрет технического закрытия</x:v>
      </x:c>
      <x:c r="D77" s="112" t="str">
        <x:v>Не закрывать отрицательные остатки массовым оприходованием без установленной хозяйственной причины и согласования.</x:v>
      </x:c>
      <x:c r="E77" s="112" t="str">
        <x:v>Контроль</x:v>
      </x:c>
      <x:c r="F77" s="112" t="str">
        <x:v>SRC-05</x:v>
      </x:c>
      <x:c r="G77" s="112" t="str">
        <x:v>Подтверждено</x:v>
      </x:c>
      <x:c r="H77" s="146" t="str">
        <x:v>P0</x:v>
      </x:c>
      <x:c r="I77" s="112" t="str">
        <x:v>P1-P7</x:v>
      </x:c>
      <x:c r="J77" s="112" t="str">
        <x:v>Процесс 1С</x:v>
      </x:c>
      <x:c r="K77" s="112" t="str">
        <x:v>Финансовый директор</x:v>
      </x:c>
      <x:c r="L77" s="112" t="str">
        <x:v>Каждая корректировка содержит основание, документ, автора и связь с расследованием.</x:v>
      </x:c>
      <x:c r="M77" s="112" t="str">
        <x:v>Регламент корректировок</x:v>
      </x:c>
      <x:c r="N77" s="112" t="str">
        <x:v>BASELINE</x:v>
      </x:c>
      <x:c r="O77" s="113" t="str">
        <x:v>P1</x:v>
      </x:c>
    </x:row>
    <x:row r="78" ht="56" customHeight="1">
      <x:c r="A78" s="111" t="str">
        <x:v>INV-004</x:v>
      </x:c>
      <x:c r="B78" s="112" t="str">
        <x:v>Остатки, склад и движение</x:v>
      </x:c>
      <x:c r="C78" s="112" t="str">
        <x:v>Движение товара</x:v>
      </x:c>
      <x:c r="D78" s="112" t="str">
        <x:v>Показывать продажи, возвраты, приходы, списания и перемещения по товару, магазину, региону и периоду.</x:v>
      </x:c>
      <x:c r="E78" s="112" t="str">
        <x:v>Функциональное</x:v>
      </x:c>
      <x:c r="F78" s="112" t="str">
        <x:v>SRC-07,SRC-08</x:v>
      </x:c>
      <x:c r="G78" s="112" t="str">
        <x:v>Документ требований</x:v>
      </x:c>
      <x:c r="H78" s="146" t="str">
        <x:v>P1</x:v>
      </x:c>
      <x:c r="I78" s="112" t="str">
        <x:v>P6</x:v>
      </x:c>
      <x:c r="J78" s="112" t="str">
        <x:v>BI / 1С</x:v>
      </x:c>
      <x:c r="K78" s="112" t="str">
        <x:v>Продажи + склад</x:v>
      </x:c>
      <x:c r="L78" s="112" t="str">
        <x:v>Из отчёта доступна расшифровка до документов; остаток сходится с движениями.</x:v>
      </x:c>
      <x:c r="M78" s="112" t="str">
        <x:v>Витрина движений</x:v>
      </x:c>
      <x:c r="N78" s="112" t="str">
        <x:v>ТРЕБУЕТ ВЕРИФИКАЦИИ</x:v>
      </x:c>
      <x:c r="O78" s="113" t="str">
        <x:v>BI-wave</x:v>
      </x:c>
    </x:row>
    <x:row r="79" ht="56" customHeight="1">
      <x:c r="A79" s="111" t="str">
        <x:v>INV-005</x:v>
      </x:c>
      <x:c r="B79" s="112" t="str">
        <x:v>Остатки, склад и движение</x:v>
      </x:c>
      <x:c r="C79" s="112" t="str">
        <x:v>Перемещения</x:v>
      </x:c>
      <x:c r="D79" s="112" t="str">
        <x:v>Оформлять и отслеживать внутренние перемещения между подразделениями с отправкой, транзитом, приёмкой и расхождениями.</x:v>
      </x:c>
      <x:c r="E79" s="112" t="str">
        <x:v>Функциональное</x:v>
      </x:c>
      <x:c r="F79" s="112" t="str">
        <x:v>SRC-01,SRC-07</x:v>
      </x:c>
      <x:c r="G79" s="112" t="str">
        <x:v>Требование и AS-IS</x:v>
      </x:c>
      <x:c r="H79" s="146" t="str">
        <x:v>P1</x:v>
      </x:c>
      <x:c r="I79" s="112" t="str">
        <x:v>P5-P6</x:v>
      </x:c>
      <x:c r="J79" s="112" t="str">
        <x:v>1С</x:v>
      </x:c>
      <x:c r="K79" s="112" t="str">
        <x:v>Логистика</x:v>
      </x:c>
      <x:c r="L79" s="112" t="str">
        <x:v>Отправленное количество связано с принятой поставкой; незавершённые перемещения видимы.</x:v>
      </x:c>
      <x:c r="M79" s="112" t="str">
        <x:v>Маршруты поставки</x:v>
      </x:c>
      <x:c r="N79" s="112" t="str">
        <x:v>BASELINE</x:v>
      </x:c>
      <x:c r="O79" s="113" t="str">
        <x:v>TASK-033</x:v>
      </x:c>
    </x:row>
    <x:row r="80" ht="56" customHeight="1">
      <x:c r="A80" s="111" t="str">
        <x:v>INV-006</x:v>
      </x:c>
      <x:c r="B80" s="112" t="str">
        <x:v>Остатки, склад и движение</x:v>
      </x:c>
      <x:c r="C80" s="112" t="str">
        <x:v>Межфирменная поставка</x:v>
      </x:c>
      <x:c r="D80" s="112" t="str">
        <x:v>Различать складское перемещение и реализацию между юридическими лицами; зеркальное поступление контролировать по товарам, ценам и налогам.</x:v>
      </x:c>
      <x:c r="E80" s="112" t="str">
        <x:v>Методология</x:v>
      </x:c>
      <x:c r="F80" s="112" t="str">
        <x:v>SRC-01</x:v>
      </x:c>
      <x:c r="G80" s="112" t="str">
        <x:v>Требует верификации финансовой модели</x:v>
      </x:c>
      <x:c r="H80" s="146" t="str">
        <x:v>P0</x:v>
      </x:c>
      <x:c r="I80" s="112" t="str">
        <x:v>P2-P5</x:v>
      </x:c>
      <x:c r="J80" s="112" t="str">
        <x:v>1С + бухгалтерия</x:v>
      </x:c>
      <x:c r="K80" s="112" t="str">
        <x:v>Финансовый директор</x:v>
      </x:c>
      <x:c r="L80" s="112" t="str">
        <x:v>Контрольный кейс имеет согласованные документы обеих сторон и сверенные взаиморасчёты.</x:v>
      </x:c>
      <x:c r="M80" s="112" t="str">
        <x:v>Право собственности/НДС</x:v>
      </x:c>
      <x:c r="N80" s="112" t="str">
        <x:v>ОТКРЫТОЕ РЕШЕНИЕ</x:v>
      </x:c>
      <x:c r="O80" s="113" t="str">
        <x:v>G2</x:v>
      </x:c>
    </x:row>
    <x:row r="81" ht="56" customHeight="1">
      <x:c r="A81" s="111" t="str">
        <x:v>INV-007</x:v>
      </x:c>
      <x:c r="B81" s="112" t="str">
        <x:v>Остатки, склад и движение</x:v>
      </x:c>
      <x:c r="C81" s="112" t="str">
        <x:v>Виртуальный склад</x:v>
      </x:c>
      <x:c r="D81" s="112" t="str">
        <x:v>Оценить и при необходимости реализовать временное исключение товара из доступного остатка с возможностью возврата и полным аудитом.</x:v>
      </x:c>
      <x:c r="E81" s="112" t="str">
        <x:v>Функциональное</x:v>
      </x:c>
      <x:c r="F81" s="112" t="str">
        <x:v>SRC-07</x:v>
      </x:c>
      <x:c r="G81" s="112" t="str">
        <x:v>Исходное пожелание</x:v>
      </x:c>
      <x:c r="H81" s="146" t="str">
        <x:v>P2</x:v>
      </x:c>
      <x:c r="I81" s="112" t="str">
        <x:v>P6</x:v>
      </x:c>
      <x:c r="J81" s="112" t="str">
        <x:v>1С</x:v>
      </x:c>
      <x:c r="K81" s="112" t="str">
        <x:v>Продажи + склад</x:v>
      </x:c>
      <x:c r="L81" s="112" t="str">
        <x:v>Есть утверждённые хозяйственные причины; виртуальный статус не искажает финансовый учёт.</x:v>
      </x:c>
      <x:c r="M81" s="112" t="str">
        <x:v>Методология списаний</x:v>
      </x:c>
      <x:c r="N81" s="112" t="str">
        <x:v>ТРЕБУЕТ ВЕРИФИКАЦИИ</x:v>
      </x:c>
      <x:c r="O81" s="113" t="str">
        <x:v>Future wave</x:v>
      </x:c>
    </x:row>
    <x:row r="82" ht="56" customHeight="1">
      <x:c r="A82" s="111" t="str">
        <x:v>INV-008</x:v>
      </x:c>
      <x:c r="B82" s="112" t="str">
        <x:v>Остатки, склад и движение</x:v>
      </x:c>
      <x:c r="C82" s="112" t="str">
        <x:v>Окончательное списание</x:v>
      </x:c>
      <x:c r="D82" s="112" t="str">
        <x:v>Поддерживать окончательные списания по утверждённым причинам с невозможностью простого возврата и обязательным основанием.</x:v>
      </x:c>
      <x:c r="E82" s="112" t="str">
        <x:v>Функциональное</x:v>
      </x:c>
      <x:c r="F82" s="112" t="str">
        <x:v>SRC-07</x:v>
      </x:c>
      <x:c r="G82" s="112" t="str">
        <x:v>Исходное пожелание</x:v>
      </x:c>
      <x:c r="H82" s="146" t="str">
        <x:v>P1</x:v>
      </x:c>
      <x:c r="I82" s="112" t="str">
        <x:v>P5-P6</x:v>
      </x:c>
      <x:c r="J82" s="112" t="str">
        <x:v>1С</x:v>
      </x:c>
      <x:c r="K82" s="112" t="str">
        <x:v>Склад + финансы</x:v>
      </x:c>
      <x:c r="L82" s="112" t="str">
        <x:v>Права ограничены; документ влияет на остатки/финрезультат и проходит согласование.</x:v>
      </x:c>
      <x:c r="M82" s="112" t="str">
        <x:v>Классификатор причин</x:v>
      </x:c>
      <x:c r="N82" s="112" t="str">
        <x:v>ТРЕБУЕТ ВЕРИФИКАЦИИ</x:v>
      </x:c>
      <x:c r="O82" s="113" t="str">
        <x:v>Future wave</x:v>
      </x:c>
    </x:row>
    <x:row r="83" ht="56" customHeight="1">
      <x:c r="A83" s="111" t="str">
        <x:v>INV-009</x:v>
      </x:c>
      <x:c r="B83" s="112" t="str">
        <x:v>Остатки, склад и движение</x:v>
      </x:c>
      <x:c r="C83" s="112" t="str">
        <x:v>Непродающиеся товары</x:v>
      </x:c>
      <x:c r="D83" s="112" t="str">
        <x:v>Отчёт по товарам без продаж с настраиваемым числом дней и фильтрами по организационной и товарной иерархии.</x:v>
      </x:c>
      <x:c r="E83" s="112" t="str">
        <x:v>BI</x:v>
      </x:c>
      <x:c r="F83" s="112" t="str">
        <x:v>SRC-07,SRC-08</x:v>
      </x:c>
      <x:c r="G83" s="112" t="str">
        <x:v>Документ требований</x:v>
      </x:c>
      <x:c r="H83" s="146" t="str">
        <x:v>P1</x:v>
      </x:c>
      <x:c r="I83" s="112" t="str">
        <x:v>P6</x:v>
      </x:c>
      <x:c r="J83" s="112" t="str">
        <x:v>BI</x:v>
      </x:c>
      <x:c r="K83" s="112" t="str">
        <x:v>Категорийный менеджмент</x:v>
      </x:c>
      <x:c r="L83" s="112" t="str">
        <x:v>Порог дней задаётся; показатель исключает новые/заблокированные товары по правилу.</x:v>
      </x:c>
      <x:c r="M83" s="112" t="str">
        <x:v>Методология периода</x:v>
      </x:c>
      <x:c r="N83" s="112" t="str">
        <x:v>BASELINE</x:v>
      </x:c>
      <x:c r="O83" s="113" t="str">
        <x:v>BI-wave</x:v>
      </x:c>
    </x:row>
    <x:row r="84" ht="56" customHeight="1">
      <x:c r="A84" s="111" t="str">
        <x:v>INV-010</x:v>
      </x:c>
      <x:c r="B84" s="112" t="str">
        <x:v>Остатки, склад и движение</x:v>
      </x:c>
      <x:c r="C84" s="112" t="str">
        <x:v>OOS и оборачиваемость</x:v>
      </x:c>
      <x:c r="D84" s="112" t="str">
        <x:v>Рассчитывать дни запаса, out-of-stock, оборачиваемость и избыточный запас по утверждённым правилам.</x:v>
      </x:c>
      <x:c r="E84" s="112" t="str">
        <x:v>BI</x:v>
      </x:c>
      <x:c r="F84" s="112" t="str">
        <x:v>SRC-08,SRC-09</x:v>
      </x:c>
      <x:c r="G84" s="112" t="str">
        <x:v>Требует утверждения формул</x:v>
      </x:c>
      <x:c r="H84" s="146" t="str">
        <x:v>P1</x:v>
      </x:c>
      <x:c r="I84" s="112" t="str">
        <x:v>P2-P6</x:v>
      </x:c>
      <x:c r="J84" s="112" t="str">
        <x:v>BI</x:v>
      </x:c>
      <x:c r="K84" s="112" t="str">
        <x:v>КМ + финансы</x:v>
      </x:c>
      <x:c r="L84" s="112" t="str">
        <x:v>Формулы, источники и исключения утверждены; drill-down до SKU/магазина.</x:v>
      </x:c>
      <x:c r="M84" s="112" t="str">
        <x:v>Качество остатков</x:v>
      </x:c>
      <x:c r="N84" s="112" t="str">
        <x:v>ОТКРЫТОЕ РЕШЕНИЕ</x:v>
      </x:c>
      <x:c r="O84" s="113" t="str">
        <x:v>G2/G6</x:v>
      </x:c>
    </x:row>
    <x:row r="85" ht="56" customHeight="1">
      <x:c r="A85" s="111" t="str">
        <x:v>RCV-001</x:v>
      </x:c>
      <x:c r="B85" s="112" t="str">
        <x:v>Приёмка поставок</x:v>
      </x:c>
      <x:c r="C85" s="112" t="str">
        <x:v>Receipt source</x:v>
      </x:c>
      <x:c r="D85" s="112" t="str">
        <x:v>Принимать структурированные PDF/XLSX/XML/EDI документы поставки, хранить оригинал и SHA-256; скан без структуры — attachment-only.</x:v>
      </x:c>
      <x:c r="E85" s="112" t="str">
        <x:v>Функциональное</x:v>
      </x:c>
      <x:c r="F85" s="112" t="str">
        <x:v>SRC-10,SRC-13</x:v>
      </x:c>
      <x:c r="G85" s="112" t="str">
        <x:v>Принято</x:v>
      </x:c>
      <x:c r="H85" s="146" t="str">
        <x:v>P1</x:v>
      </x:c>
      <x:c r="I85" s="112" t="str">
        <x:v>P5</x:v>
      </x:c>
      <x:c r="J85" s="112" t="str">
        <x:v>Внешний сервис</x:v>
      </x:c>
      <x:c r="K85" s="112" t="str">
        <x:v>Технический лидер</x:v>
      </x:c>
      <x:c r="L85" s="112" t="str">
        <x:v>Duplicate digest не создаёт второй import; неподдерживаемый файл имеет объяснимый статус.</x:v>
      </x:c>
      <x:c r="M85" s="112" t="str">
        <x:v>Выбор MVP форматов</x:v>
      </x:c>
      <x:c r="N85" s="112" t="str">
        <x:v>BASELINE</x:v>
      </x:c>
      <x:c r="O85" s="113" t="str">
        <x:v>TASK-027</x:v>
      </x:c>
    </x:row>
    <x:row r="86" ht="56" customHeight="1">
      <x:c r="A86" s="111" t="str">
        <x:v>RCV-002</x:v>
      </x:c>
      <x:c r="B86" s="112" t="str">
        <x:v>Приёмка поставок</x:v>
      </x:c>
      <x:c r="C86" s="112" t="str">
        <x:v>Receipt profile</x:v>
      </x:c>
      <x:c r="D86" s="112" t="str">
        <x:v>Извлекать поставщика, организацию, склад, номер/дату, строки, количества, цены, VAT, суммы и координаты/confidence.</x:v>
      </x:c>
      <x:c r="E86" s="112" t="str">
        <x:v>Функциональное</x:v>
      </x:c>
      <x:c r="F86" s="112" t="str">
        <x:v>SRC-10</x:v>
      </x:c>
      <x:c r="G86" s="112" t="str">
        <x:v>Baseline</x:v>
      </x:c>
      <x:c r="H86" s="146" t="str">
        <x:v>P1</x:v>
      </x:c>
      <x:c r="I86" s="112" t="str">
        <x:v>P5</x:v>
      </x:c>
      <x:c r="J86" s="112" t="str">
        <x:v>Внешний сервис</x:v>
      </x:c>
      <x:c r="K86" s="112" t="str">
        <x:v>Технический лидер</x:v>
      </x:c>
      <x:c r="L86" s="112" t="str">
        <x:v>Строки и итоги сверяются; каждая строка имеет source coordinate.</x:v>
      </x:c>
      <x:c r="M86" s="112" t="str">
        <x:v>2–3 пилотных профиля</x:v>
      </x:c>
      <x:c r="N86" s="112" t="str">
        <x:v>BASELINE</x:v>
      </x:c>
      <x:c r="O86" s="113" t="str">
        <x:v>TASK-028</x:v>
      </x:c>
    </x:row>
    <x:row r="87" ht="56" customHeight="1">
      <x:c r="A87" s="111" t="str">
        <x:v>RCV-003</x:v>
      </x:c>
      <x:c r="B87" s="112" t="str">
        <x:v>Приёмка поставок</x:v>
      </x:c>
      <x:c r="C87" s="112" t="str">
        <x:v>Связь с заказом</x:v>
      </x:c>
      <x:c r="D87" s="112" t="str">
        <x:v>1С должна связывать receipt-package с заказом поставщику по организации, поставщику, складу, номеру и допустимым отклонениям.</x:v>
      </x:c>
      <x:c r="E87" s="112" t="str">
        <x:v>Функциональное</x:v>
      </x:c>
      <x:c r="F87" s="112" t="str">
        <x:v>SRC-10,SRC-13</x:v>
      </x:c>
      <x:c r="G87" s="112" t="str">
        <x:v>Принято</x:v>
      </x:c>
      <x:c r="H87" s="146" t="str">
        <x:v>P0</x:v>
      </x:c>
      <x:c r="I87" s="112" t="str">
        <x:v>P5</x:v>
      </x:c>
      <x:c r="J87" s="112" t="str">
        <x:v>1С staging</x:v>
      </x:c>
      <x:c r="K87" s="112" t="str">
        <x:v>Закупки / склад</x:v>
      </x:c>
      <x:c r="L87" s="112" t="str">
        <x:v>Mismatch ключевых реквизитов блокирует применение и виден reviewer.</x:v>
      </x:c>
      <x:c r="M87" s="112" t="str">
        <x:v>Типовой документ и правила</x:v>
      </x:c>
      <x:c r="N87" s="112" t="str">
        <x:v>BASELINE</x:v>
      </x:c>
      <x:c r="O87" s="113" t="str">
        <x:v>TASK-030</x:v>
      </x:c>
    </x:row>
    <x:row r="88" ht="56" customHeight="1">
      <x:c r="A88" s="111" t="str">
        <x:v>RCV-004</x:v>
      </x:c>
      <x:c r="B88" s="112" t="str">
        <x:v>Приёмка поставок</x:v>
      </x:c>
      <x:c r="C88" s="112" t="str">
        <x:v>Физический факт</x:v>
      </x:c>
      <x:c r="D88" s="112" t="str">
        <x:v>Фактическое наличие определяется сканированием/вводом в 1С; документ поставщика и OCR не заменяют физический факт.</x:v>
      </x:c>
      <x:c r="E88" s="112" t="str">
        <x:v>Архитектурное</x:v>
      </x:c>
      <x:c r="F88" s="112" t="str">
        <x:v>SRC-10,SRC-13</x:v>
      </x:c>
      <x:c r="G88" s="112" t="str">
        <x:v>Принято</x:v>
      </x:c>
      <x:c r="H88" s="146" t="str">
        <x:v>P0</x:v>
      </x:c>
      <x:c r="I88" s="112" t="str">
        <x:v>P5</x:v>
      </x:c>
      <x:c r="J88" s="112" t="str">
        <x:v>1С workspace</x:v>
      </x:c>
      <x:c r="K88" s="112" t="str">
        <x:v>Магазин/склад</x:v>
      </x:c>
      <x:c r="L88" s="112" t="str">
        <x:v>В receipt session каждая фактическая единица/строка имеет scan event или подтверждённый ввод.</x:v>
      </x:c>
      <x:c r="M88" s="112" t="str">
        <x:v>Устройства сканирования</x:v>
      </x:c>
      <x:c r="N88" s="112" t="str">
        <x:v>BASELINE</x:v>
      </x:c>
      <x:c r="O88" s="113" t="str">
        <x:v>TASK-031</x:v>
      </x:c>
    </x:row>
    <x:row r="89" ht="56" customHeight="1">
      <x:c r="A89" s="111" t="str">
        <x:v>RCV-005</x:v>
      </x:c>
      <x:c r="B89" s="112" t="str">
        <x:v>Приёмка поставок</x:v>
      </x:c>
      <x:c r="C89" s="112" t="str">
        <x:v>РМ магазина</x:v>
      </x:c>
      <x:c r="D89" s="112" t="str">
        <x:v>Предоставить список ожидаемых поставок, сканирование штрихкода, фактическое количество, брак, комментарий/фото, submit/return.</x:v>
      </x:c>
      <x:c r="E89" s="112" t="str">
        <x:v>Функциональное</x:v>
      </x:c>
      <x:c r="F89" s="112" t="str">
        <x:v>SRC-10</x:v>
      </x:c>
      <x:c r="G89" s="112" t="str">
        <x:v>Baseline</x:v>
      </x:c>
      <x:c r="H89" s="146" t="str">
        <x:v>P0</x:v>
      </x:c>
      <x:c r="I89" s="112" t="str">
        <x:v>P5</x:v>
      </x:c>
      <x:c r="J89" s="112" t="str">
        <x:v>1С workspace</x:v>
      </x:c>
      <x:c r="K89" s="112" t="str">
        <x:v>Магазин</x:v>
      </x:c>
      <x:c r="L89" s="112" t="str">
        <x:v>Роль магазина не может проводить типовой документ или изменять цены/НСИ.</x:v>
      </x:c>
      <x:c r="M89" s="112" t="str">
        <x:v>RBAC и UX</x:v>
      </x:c>
      <x:c r="N89" s="112" t="str">
        <x:v>BASELINE</x:v>
      </x:c>
      <x:c r="O89" s="113" t="str">
        <x:v>TASK-031</x:v>
      </x:c>
    </x:row>
    <x:row r="90" ht="56" customHeight="1">
      <x:c r="A90" s="111" t="str">
        <x:v>RCV-006</x:v>
      </x:c>
      <x:c r="B90" s="112" t="str">
        <x:v>Приёмка поставок</x:v>
      </x:c>
      <x:c r="C90" s="112" t="str">
        <x:v>Unknown barcode</x:v>
      </x:c>
      <x:c r="D90" s="112" t="str">
        <x:v>Неизвестный штрихкод сохранять как MAPPING_REQUIRED, не терять и не связывать автоматически при неоднозначности.</x:v>
      </x:c>
      <x:c r="E90" s="112" t="str">
        <x:v>Контроль</x:v>
      </x:c>
      <x:c r="F90" s="112" t="str">
        <x:v>SRC-10,SRC-13</x:v>
      </x:c>
      <x:c r="G90" s="112" t="str">
        <x:v>Принято</x:v>
      </x:c>
      <x:c r="H90" s="146" t="str">
        <x:v>P0</x:v>
      </x:c>
      <x:c r="I90" s="112" t="str">
        <x:v>P5</x:v>
      </x:c>
      <x:c r="J90" s="112" t="str">
        <x:v>1С matching</x:v>
      </x:c>
      <x:c r="K90" s="112" t="str">
        <x:v>Категорийный менеджер</x:v>
      </x:c>
      <x:c r="L90" s="112" t="str">
        <x:v>Unknown scan имеет фото/комментарий и находится в очереди решения.</x:v>
      </x:c>
      <x:c r="M90" s="112" t="str">
        <x:v>Mapping workflow</x:v>
      </x:c>
      <x:c r="N90" s="112" t="str">
        <x:v>BASELINE</x:v>
      </x:c>
      <x:c r="O90" s="113" t="str">
        <x:v>TASK-031,TASK-032</x:v>
      </x:c>
    </x:row>
    <x:row r="91" ht="56" customHeight="1">
      <x:c r="A91" s="111" t="str">
        <x:v>RCV-007</x:v>
      </x:c>
      <x:c r="B91" s="112" t="str">
        <x:v>Приёмка поставок</x:v>
      </x:c>
      <x:c r="C91" s="112" t="str">
        <x:v>Алгоритм matching</x:v>
      </x:c>
      <x:c r="D91" s="112" t="str">
        <x:v>Последовательность: сохранённая связь → строка заказа → GTIN+упаковка → артикул поставщика → ручное решение.</x:v>
      </x:c>
      <x:c r="E91" s="112" t="str">
        <x:v>Функциональное</x:v>
      </x:c>
      <x:c r="F91" s="112" t="str">
        <x:v>SRC-10,SRC-13</x:v>
      </x:c>
      <x:c r="G91" s="112" t="str">
        <x:v>Принято</x:v>
      </x:c>
      <x:c r="H91" s="146" t="str">
        <x:v>P0</x:v>
      </x:c>
      <x:c r="I91" s="112" t="str">
        <x:v>P5</x:v>
      </x:c>
      <x:c r="J91" s="112" t="str">
        <x:v>1С matching</x:v>
      </x:c>
      <x:c r="K91" s="112" t="str">
        <x:v>Владелец 1С</x:v>
      </x:c>
      <x:c r="L91" s="112" t="str">
        <x:v>Каждая автосвязь объяснима; ambiguity не auto-link.</x:v>
      </x:c>
      <x:c r="M91" s="112" t="str">
        <x:v>MDM и order link</x:v>
      </x:c>
      <x:c r="N91" s="112" t="str">
        <x:v>BASELINE</x:v>
      </x:c>
      <x:c r="O91" s="113" t="str">
        <x:v>TASK-032</x:v>
      </x:c>
    </x:row>
    <x:row r="92" ht="56" customHeight="1">
      <x:c r="A92" s="111" t="str">
        <x:v>RCV-008</x:v>
      </x:c>
      <x:c r="B92" s="112" t="str">
        <x:v>Приёмка поставок</x:v>
      </x:c>
      <x:c r="C92" s="112" t="str">
        <x:v>Расхождения</x:v>
      </x:c>
      <x:c r="D92" s="112" t="str">
        <x:v>Классифицировать недопоставку, излишек, незапланированный товар, замену, упаковку, цену, брак и неизвестную позицию.</x:v>
      </x:c>
      <x:c r="E92" s="112" t="str">
        <x:v>Функциональное</x:v>
      </x:c>
      <x:c r="F92" s="112" t="str">
        <x:v>SRC-10,SRC-13</x:v>
      </x:c>
      <x:c r="G92" s="112" t="str">
        <x:v>Принято; правила требуют решения</x:v>
      </x:c>
      <x:c r="H92" s="146" t="str">
        <x:v>P0</x:v>
      </x:c>
      <x:c r="I92" s="112" t="str">
        <x:v>P2-P5</x:v>
      </x:c>
      <x:c r="J92" s="112" t="str">
        <x:v>1С staging</x:v>
      </x:c>
      <x:c r="K92" s="112" t="str">
        <x:v>Склад + закупки + финансы</x:v>
      </x:c>
      <x:c r="L92" s="112" t="str">
        <x:v>Каждое расхождение имеет статус, владельца, допустимый порог и решение.</x:v>
      </x:c>
      <x:c r="M92" s="112" t="str">
        <x:v>D-RCV-05</x:v>
      </x:c>
      <x:c r="N92" s="112" t="str">
        <x:v>ОТКРЫТОЕ РЕШЕНИЕ</x:v>
      </x:c>
      <x:c r="O92" s="113" t="str">
        <x:v>TASK-032</x:v>
      </x:c>
    </x:row>
    <x:row r="93" ht="56" customHeight="1">
      <x:c r="A93" s="111" t="str">
        <x:v>RCV-009</x:v>
      </x:c>
      <x:c r="B93" s="112" t="str">
        <x:v>Приёмка поставок</x:v>
      </x:c>
      <x:c r="C93" s="112" t="str">
        <x:v>Reviewer workspace</x:v>
      </x:c>
      <x:c r="D93" s="112" t="str">
        <x:v>Уполномоченный пользователь работает с exception-only view, подтверждает решения и создаёт документы.</x:v>
      </x:c>
      <x:c r="E93" s="112" t="str">
        <x:v>Функциональное</x:v>
      </x:c>
      <x:c r="F93" s="112" t="str">
        <x:v>SRC-10,SRC-13</x:v>
      </x:c>
      <x:c r="G93" s="112" t="str">
        <x:v>Принято</x:v>
      </x:c>
      <x:c r="H93" s="146" t="str">
        <x:v>P0</x:v>
      </x:c>
      <x:c r="I93" s="112" t="str">
        <x:v>P5</x:v>
      </x:c>
      <x:c r="J93" s="112" t="str">
        <x:v>1С workspace</x:v>
      </x:c>
      <x:c r="K93" s="112" t="str">
        <x:v>Товаровед / склад</x:v>
      </x:c>
      <x:c r="L93" s="112" t="str">
        <x:v>Строки без расхождений не вводятся повторно; действия аудируются.</x:v>
      </x:c>
      <x:c r="M93" s="112" t="str">
        <x:v>Роли и матрица полномочий</x:v>
      </x:c>
      <x:c r="N93" s="112" t="str">
        <x:v>BASELINE</x:v>
      </x:c>
      <x:c r="O93" s="113" t="str">
        <x:v>TASK-033</x:v>
      </x:c>
    </x:row>
    <x:row r="94" ht="56" customHeight="1">
      <x:c r="A94" s="111" t="str">
        <x:v>RCV-010</x:v>
      </x:c>
      <x:c r="B94" s="112" t="str">
        <x:v>Приёмка поставок</x:v>
      </x:c>
      <x:c r="C94" s="112" t="str">
        <x:v>Типовые документы</x:v>
      </x:c>
      <x:c r="D94" s="112" t="str">
        <x:v>Создавать типовое поступление и при необходимости перемещение по настроенному маршруту; повтор команды идемпотентен.</x:v>
      </x:c>
      <x:c r="E94" s="112" t="str">
        <x:v>Функциональное</x:v>
      </x:c>
      <x:c r="F94" s="112" t="str">
        <x:v>SRC-10,SRC-13</x:v>
      </x:c>
      <x:c r="G94" s="112" t="str">
        <x:v>Принято; тип документа уточняется</x:v>
      </x:c>
      <x:c r="H94" s="146" t="str">
        <x:v>P0</x:v>
      </x:c>
      <x:c r="I94" s="112" t="str">
        <x:v>P5</x:v>
      </x:c>
      <x:c r="J94" s="112" t="str">
        <x:v>1С:УТ</x:v>
      </x:c>
      <x:c r="K94" s="112" t="str">
        <x:v>Владелец 1С</x:v>
      </x:c>
      <x:c r="L94" s="112" t="str">
        <x:v>Одна receipt session создаёт один набор документов; ссылки двусторонние.</x:v>
      </x:c>
      <x:c r="M94" s="112" t="str">
        <x:v>D-RCV-01/02</x:v>
      </x:c>
      <x:c r="N94" s="112" t="str">
        <x:v>ОТКРЫТОЕ РЕШЕНИЕ</x:v>
      </x:c>
      <x:c r="O94" s="113" t="str">
        <x:v>TASK-033</x:v>
      </x:c>
    </x:row>
    <x:row r="95" ht="56" customHeight="1">
      <x:c r="A95" s="111" t="str">
        <x:v>RCV-011</x:v>
      </x:c>
      <x:c r="B95" s="112" t="str">
        <x:v>Приёмка поставок</x:v>
      </x:c>
      <x:c r="C95" s="112" t="str">
        <x:v>Серии и сроки</x:v>
      </x:c>
      <x:c r="D95" s="112" t="str">
        <x:v>Для категорий с сериями/сроками/маркировкой сделать поля обязательными и валидируемыми.</x:v>
      </x:c>
      <x:c r="E95" s="112" t="str">
        <x:v>Функциональное</x:v>
      </x:c>
      <x:c r="F95" s="112" t="str">
        <x:v>SRC-10,SRC-16</x:v>
      </x:c>
      <x:c r="G95" s="112" t="str">
        <x:v>Требует решения</x:v>
      </x:c>
      <x:c r="H95" s="146" t="str">
        <x:v>P1</x:v>
      </x:c>
      <x:c r="I95" s="112" t="str">
        <x:v>P2-P5</x:v>
      </x:c>
      <x:c r="J95" s="112" t="str">
        <x:v>1С workspace</x:v>
      </x:c>
      <x:c r="K95" s="112" t="str">
        <x:v>КМ + склад</x:v>
      </x:c>
      <x:c r="L95" s="112" t="str">
        <x:v>Категории и обязательность утверждены; документ не проводится без данных.</x:v>
      </x:c>
      <x:c r="M95" s="112" t="str">
        <x:v>D-RCV-06</x:v>
      </x:c>
      <x:c r="N95" s="112" t="str">
        <x:v>ОТКРЫТОЕ РЕШЕНИЕ</x:v>
      </x:c>
      <x:c r="O95" s="113" t="str">
        <x:v>TASK-031,TASK-033</x:v>
      </x:c>
    </x:row>
    <x:row r="96" ht="56" customHeight="1">
      <x:c r="A96" s="111" t="str">
        <x:v>RCV-012</x:v>
      </x:c>
      <x:c r="B96" s="112" t="str">
        <x:v>Приёмка поставок</x:v>
      </x:c>
      <x:c r="C96" s="112" t="str">
        <x:v>Аудит приёмки</x:v>
      </x:c>
      <x:c r="D96" s="112" t="str">
        <x:v>Хранить append-only историю scan/status/user/device, correlation IDs и trace заказ → исходник → session → документы.</x:v>
      </x:c>
      <x:c r="E96" s="112" t="str">
        <x:v>Нефункциональное</x:v>
      </x:c>
      <x:c r="F96" s="112" t="str">
        <x:v>SRC-10,SRC-13</x:v>
      </x:c>
      <x:c r="G96" s="112" t="str">
        <x:v>Принято</x:v>
      </x:c>
      <x:c r="H96" s="146" t="str">
        <x:v>P0</x:v>
      </x:c>
      <x:c r="I96" s="112" t="str">
        <x:v>P5-P7</x:v>
      </x:c>
      <x:c r="J96" s="112" t="str">
        <x:v>1С + сервис</x:v>
      </x:c>
      <x:c r="K96" s="112" t="str">
        <x:v>Технический лидер</x:v>
      </x:c>
      <x:c r="L96" s="112" t="str">
        <x:v>ACK/status отправляется после commit; история не редактируется пользователем.</x:v>
      </x:c>
      <x:c r="M96" s="112" t="str">
        <x:v>Audit storage</x:v>
      </x:c>
      <x:c r="N96" s="112" t="str">
        <x:v>BASELINE</x:v>
      </x:c>
      <x:c r="O96" s="113" t="str">
        <x:v>TASK-034</x:v>
      </x:c>
    </x:row>
    <x:row r="97" ht="56" customHeight="1">
      <x:c r="A97" s="111" t="str">
        <x:v>RCV-013</x:v>
      </x:c>
      <x:c r="B97" s="112" t="str">
        <x:v>Приёмка поставок</x:v>
      </x:c>
      <x:c r="C97" s="112" t="str">
        <x:v>UAT приёмки</x:v>
      </x:c>
      <x:c r="D97" s="112" t="str">
        <x:v>Проверить обезличенную накладную на 32 строки и сценарии shortage/overage/unplanned/mapping/packaging/price/damage.</x:v>
      </x:c>
      <x:c r="E97" s="112" t="str">
        <x:v>Тестирование</x:v>
      </x:c>
      <x:c r="F97" s="112" t="str">
        <x:v>SRC-10,SRC-15</x:v>
      </x:c>
      <x:c r="G97" s="112" t="str">
        <x:v>Принято</x:v>
      </x:c>
      <x:c r="H97" s="146" t="str">
        <x:v>P0</x:v>
      </x:c>
      <x:c r="I97" s="112" t="str">
        <x:v>P5</x:v>
      </x:c>
      <x:c r="J97" s="112" t="str">
        <x:v>UAT</x:v>
      </x:c>
      <x:c r="K97" s="112" t="str">
        <x:v>Склад + QA</x:v>
      </x:c>
      <x:c r="L97" s="112" t="str">
        <x:v>AC-RCV-001…015 пройдены в тестовой базе и подписаны.</x:v>
      </x:c>
      <x:c r="M97" s="112" t="str">
        <x:v>Golden fixture</x:v>
      </x:c>
      <x:c r="N97" s="112" t="str">
        <x:v>BASELINE</x:v>
      </x:c>
      <x:c r="O97" s="113" t="str">
        <x:v>TASK-035</x:v>
      </x:c>
    </x:row>
    <x:row r="98" ht="56" customHeight="1">
      <x:c r="A98" s="111" t="str">
        <x:v>RCV-014</x:v>
      </x:c>
      <x:c r="B98" s="112" t="str">
        <x:v>Приёмка поставок</x:v>
      </x:c>
      <x:c r="C98" s="112" t="str">
        <x:v>OCR/EDI</x:v>
      </x:c>
      <x:c r="D98" s="112" t="str">
        <x:v>OCR использовать только как подсказку после отдельного ADR; он не может автоматически проводить документ или менять physical fact.</x:v>
      </x:c>
      <x:c r="E98" s="112" t="str">
        <x:v>Ограничение</x:v>
      </x:c>
      <x:c r="F98" s="112" t="str">
        <x:v>SRC-10,SRC-13</x:v>
      </x:c>
      <x:c r="G98" s="112" t="str">
        <x:v>Принято</x:v>
      </x:c>
      <x:c r="H98" s="146" t="str">
        <x:v>P2</x:v>
      </x:c>
      <x:c r="I98" s="112" t="str">
        <x:v>P7+</x:v>
      </x:c>
      <x:c r="J98" s="112" t="str">
        <x:v>Внешний сервис</x:v>
      </x:c>
      <x:c r="K98" s="112" t="str">
        <x:v>Архитектурный комитет</x:v>
      </x:c>
      <x:c r="L98" s="112" t="str">
        <x:v>Human review и source coordinates обязательны; auto-post отсутствует.</x:v>
      </x:c>
      <x:c r="M98" s="112" t="str">
        <x:v>Отдельный ADR</x:v>
      </x:c>
      <x:c r="N98" s="112" t="str">
        <x:v>BASELINE</x:v>
      </x:c>
      <x:c r="O98" s="113" t="str">
        <x:v>TASK-036</x:v>
      </x:c>
    </x:row>
    <x:row r="99" ht="56" customHeight="1">
      <x:c r="A99" s="111" t="str">
        <x:v>FIN-001</x:v>
      </x:c>
      <x:c r="B99" s="112" t="str">
        <x:v>Финансы и управленческий учёт</x:v>
      </x:c>
      <x:c r="C99" s="112" t="str">
        <x:v>Источник финансового результата</x:v>
      </x:c>
      <x:c r="D99" s="112" t="str">
        <x:v>До миграции признать старую УТ фактическим ядром закрытия, расходов, кассы, себестоимости и результата; задокументировать маршрут данных.</x:v>
      </x:c>
      <x:c r="E99" s="112" t="str">
        <x:v>Архитектурное</x:v>
      </x:c>
      <x:c r="F99" s="112" t="str">
        <x:v>SRC-05,SRC-06</x:v>
      </x:c>
      <x:c r="G99" s="112" t="str">
        <x:v>Подтверждено</x:v>
      </x:c>
      <x:c r="H99" s="146" t="str">
        <x:v>P0</x:v>
      </x:c>
      <x:c r="I99" s="112" t="str">
        <x:v>P1-P2</x:v>
      </x:c>
      <x:c r="J99" s="112" t="str">
        <x:v>1С / финансы</x:v>
      </x:c>
      <x:c r="K99" s="112" t="str">
        <x:v>Финансовый директор</x:v>
      </x:c>
      <x:c r="L99" s="112" t="str">
        <x:v>Карта источников и регистров утверждена; каждый показатель имеет систему-источник.</x:v>
      </x:c>
      <x:c r="M99" s="112" t="str">
        <x:v>Доступ к старой УТ</x:v>
      </x:c>
      <x:c r="N99" s="112" t="str">
        <x:v>BASELINE</x:v>
      </x:c>
      <x:c r="O99" s="113" t="str">
        <x:v>G1/G2</x:v>
      </x:c>
    </x:row>
    <x:row r="100" ht="56" customHeight="1">
      <x:c r="A100" s="111" t="str">
        <x:v>FIN-002</x:v>
      </x:c>
      <x:c r="B100" s="112" t="str">
        <x:v>Финансы и управленческий учёт</x:v>
      </x:c>
      <x:c r="C100" s="112" t="str">
        <x:v>Календарь закрытия</x:v>
      </x:c>
      <x:c r="D100" s="112" t="str">
        <x:v>Утвердить предварительное и итоговое закрытие, cut-off документов, роли, reopen и контроль просроченных операций.</x:v>
      </x:c>
      <x:c r="E100" s="112" t="str">
        <x:v>Методология</x:v>
      </x:c>
      <x:c r="F100" s="112" t="str">
        <x:v>SRC-05</x:v>
      </x:c>
      <x:c r="G100" s="112" t="str">
        <x:v>Подтверждено</x:v>
      </x:c>
      <x:c r="H100" s="146" t="str">
        <x:v>P0</x:v>
      </x:c>
      <x:c r="I100" s="112" t="str">
        <x:v>P2-P6</x:v>
      </x:c>
      <x:c r="J100" s="112" t="str">
        <x:v>Финансы / 1С</x:v>
      </x:c>
      <x:c r="K100" s="112" t="str">
        <x:v>Финансовый директор</x:v>
      </x:c>
      <x:c r="L100" s="112" t="str">
        <x:v>Месяц закрыт по календарю; reopen имеет согласование и журнал причин.</x:v>
      </x:c>
      <x:c r="M100" s="112" t="str">
        <x:v>Стабилизация данных</x:v>
      </x:c>
      <x:c r="N100" s="112" t="str">
        <x:v>BASELINE</x:v>
      </x:c>
      <x:c r="O100" s="113" t="str">
        <x:v>G2/G6</x:v>
      </x:c>
    </x:row>
    <x:row r="101" ht="56" customHeight="1">
      <x:c r="A101" s="111" t="str">
        <x:v>FIN-003</x:v>
      </x:c>
      <x:c r="B101" s="112" t="str">
        <x:v>Финансы и управленческий учёт</x:v>
      </x:c>
      <x:c r="C101" s="112" t="str">
        <x:v>Недогруженные документы</x:v>
      </x:c>
      <x:c r="D101" s="112" t="str">
        <x:v>Вести реестр документов, не прошедших обмен/проведение, с суммой, причиной, владельцем и сроком.</x:v>
      </x:c>
      <x:c r="E101" s="112" t="str">
        <x:v>Контроль</x:v>
      </x:c>
      <x:c r="F101" s="112" t="str">
        <x:v>SRC-05,SRC-06</x:v>
      </x:c>
      <x:c r="G101" s="112" t="str">
        <x:v>Экранно подтверждено</x:v>
      </x:c>
      <x:c r="H101" s="146" t="str">
        <x:v>P0</x:v>
      </x:c>
      <x:c r="I101" s="112" t="str">
        <x:v>P1</x:v>
      </x:c>
      <x:c r="J101" s="112" t="str">
        <x:v>1С / мониторинг</x:v>
      </x:c>
      <x:c r="K101" s="112" t="str">
        <x:v>Финансовый директор</x:v>
      </x:c>
      <x:c r="L101" s="112" t="str">
        <x:v>Каждому расхождению назначен статус; итог месяца учитывает только обработанные исключения.</x:v>
      </x:c>
      <x:c r="M101" s="112" t="str">
        <x:v>Протокол обмена</x:v>
      </x:c>
      <x:c r="N101" s="112" t="str">
        <x:v>BASELINE</x:v>
      </x:c>
      <x:c r="O101" s="113" t="str">
        <x:v>G1</x:v>
      </x:c>
    </x:row>
    <x:row r="102" ht="56" customHeight="1">
      <x:c r="A102" s="111" t="str">
        <x:v>FIN-004</x:v>
      </x:c>
      <x:c r="B102" s="112" t="str">
        <x:v>Финансы и управленческий учёт</x:v>
      </x:c>
      <x:c r="C102" s="112" t="str">
        <x:v>Подразделения</x:v>
      </x:c>
      <x:c r="D102" s="112" t="str">
        <x:v>Исправить передачу подразделения/магазина/склада в регистры и перепровести контрольный период на копии.</x:v>
      </x:c>
      <x:c r="E102" s="112" t="str">
        <x:v>Функциональное</x:v>
      </x:c>
      <x:c r="F102" s="112" t="str">
        <x:v>SRC-05,SRC-06</x:v>
      </x:c>
      <x:c r="G102" s="112" t="str">
        <x:v>Экранно подтверждено</x:v>
      </x:c>
      <x:c r="H102" s="146" t="str">
        <x:v>P0</x:v>
      </x:c>
      <x:c r="I102" s="112" t="str">
        <x:v>P1</x:v>
      </x:c>
      <x:c r="J102" s="112" t="str">
        <x:v>1С интеграция</x:v>
      </x:c>
      <x:c r="K102" s="112" t="str">
        <x:v>ИТ + финансы</x:v>
      </x:c>
      <x:c r="L102" s="112" t="str">
        <x:v>Отчёт до/после перехода отражает правильное подразделение и сходится с исходными продажами.</x:v>
      </x:c>
      <x:c r="M102" s="112" t="str">
        <x:v>Mapping объектов</x:v>
      </x:c>
      <x:c r="N102" s="112" t="str">
        <x:v>BASELINE</x:v>
      </x:c>
      <x:c r="O102" s="113" t="str">
        <x:v>P1</x:v>
      </x:c>
    </x:row>
    <x:row r="103" ht="56" customHeight="1">
      <x:c r="A103" s="111" t="str">
        <x:v>FIN-005</x:v>
      </x:c>
      <x:c r="B103" s="112" t="str">
        <x:v>Финансы и управленческий учёт</x:v>
      </x:c>
      <x:c r="C103" s="112" t="str">
        <x:v>Кассы</x:v>
      </x:c>
      <x:c r="D103" s="112" t="str">
        <x:v>Разделить кассы по торговым точкам и восстановить операции с даты появления второй точки.</x:v>
      </x:c>
      <x:c r="E103" s="112" t="str">
        <x:v>Функциональное</x:v>
      </x:c>
      <x:c r="F103" s="112" t="str">
        <x:v>SRC-05</x:v>
      </x:c>
      <x:c r="G103" s="112" t="str">
        <x:v>Подтверждено для Уссурийска</x:v>
      </x:c>
      <x:c r="H103" s="146" t="str">
        <x:v>P0</x:v>
      </x:c>
      <x:c r="I103" s="112" t="str">
        <x:v>P1</x:v>
      </x:c>
      <x:c r="J103" s="112" t="str">
        <x:v>1С</x:v>
      </x:c>
      <x:c r="K103" s="112" t="str">
        <x:v>Бухгалтерия + ИТ</x:v>
      </x:c>
      <x:c r="L103" s="112" t="str">
        <x:v>Остаток, инкассация и операции раздельны по каждой точке.</x:v>
      </x:c>
      <x:c r="M103" s="112" t="str">
        <x:v>Период восстановления</x:v>
      </x:c>
      <x:c r="N103" s="112" t="str">
        <x:v>BASELINE</x:v>
      </x:c>
      <x:c r="O103" s="113" t="str">
        <x:v>P1</x:v>
      </x:c>
    </x:row>
    <x:row r="104" ht="56" customHeight="1">
      <x:c r="A104" s="111" t="str">
        <x:v>FIN-006</x:v>
      </x:c>
      <x:c r="B104" s="112" t="str">
        <x:v>Финансы и управленческий учёт</x:v>
      </x:c>
      <x:c r="C104" s="112" t="str">
        <x:v>Себестоимость</x:v>
      </x:c>
      <x:c r="D104" s="112" t="str">
        <x:v>Утвердить единый алгоритм и источник стоимости; устранить произвольный ручной ввод цены в документах.</x:v>
      </x:c>
      <x:c r="E104" s="112" t="str">
        <x:v>Методология</x:v>
      </x:c>
      <x:c r="F104" s="112" t="str">
        <x:v>SRC-05,SRC-06</x:v>
      </x:c>
      <x:c r="G104" s="112" t="str">
        <x:v>Подтверждён риск</x:v>
      </x:c>
      <x:c r="H104" s="146" t="str">
        <x:v>P0</x:v>
      </x:c>
      <x:c r="I104" s="112" t="str">
        <x:v>P1-P2</x:v>
      </x:c>
      <x:c r="J104" s="112" t="str">
        <x:v>1С / финансы</x:v>
      </x:c>
      <x:c r="K104" s="112" t="str">
        <x:v>Финансы + закупки</x:v>
      </x:c>
      <x:c r="L104" s="112" t="str">
        <x:v>Три контрольных SKU воспроизводятся от документов/регистров; ошибки формируют exception.</x:v>
      </x:c>
      <x:c r="M104" s="112" t="str">
        <x:v>Закрытие и импорт</x:v>
      </x:c>
      <x:c r="N104" s="112" t="str">
        <x:v>BASELINE</x:v>
      </x:c>
      <x:c r="O104" s="113" t="str">
        <x:v>G1/G2</x:v>
      </x:c>
    </x:row>
    <x:row r="105" ht="56" customHeight="1">
      <x:c r="A105" s="111" t="str">
        <x:v>FIN-007</x:v>
      </x:c>
      <x:c r="B105" s="112" t="str">
        <x:v>Финансы и управленческий учёт</x:v>
      </x:c>
      <x:c r="C105" s="112" t="str">
        <x:v>Исторические корректировки</x:v>
      </x:c>
      <x:c r="D105" s="112" t="str">
        <x:v>Инвентаризировать крупные оприходования и корректировки, подтвердить основания и влияние на результат.</x:v>
      </x:c>
      <x:c r="E105" s="112" t="str">
        <x:v>Контроль</x:v>
      </x:c>
      <x:c r="F105" s="112" t="str">
        <x:v>SRC-05</x:v>
      </x:c>
      <x:c r="G105" s="112" t="str">
        <x:v>Подтверждено интервью</x:v>
      </x:c>
      <x:c r="H105" s="146" t="str">
        <x:v>P0</x:v>
      </x:c>
      <x:c r="I105" s="112" t="str">
        <x:v>P1</x:v>
      </x:c>
      <x:c r="J105" s="112" t="str">
        <x:v>1С / аудит</x:v>
      </x:c>
      <x:c r="K105" s="112" t="str">
        <x:v>Финансовый директор</x:v>
      </x:c>
      <x:c r="L105" s="112" t="str">
        <x:v>Каждая существенная корректировка имеет расшифровку, согласование и повторный расчёт.</x:v>
      </x:c>
      <x:c r="M105" s="112" t="str">
        <x:v>Материалы бухгалтерии</x:v>
      </x:c>
      <x:c r="N105" s="112" t="str">
        <x:v>BASELINE</x:v>
      </x:c>
      <x:c r="O105" s="113" t="str">
        <x:v>P1</x:v>
      </x:c>
    </x:row>
    <x:row r="106" ht="56" customHeight="1">
      <x:c r="A106" s="111" t="str">
        <x:v>FIN-008</x:v>
      </x:c>
      <x:c r="B106" s="112" t="str">
        <x:v>Финансы и управленческий учёт</x:v>
      </x:c>
      <x:c r="C106" s="112" t="str">
        <x:v>Статьи БДР и ДДС</x:v>
      </x:c>
      <x:c r="D106" s="112" t="str">
        <x:v>Разделить классификаторы БДР и ДДС, установить обязательные аналитики и владельца каждой статьи.</x:v>
      </x:c>
      <x:c r="E106" s="112" t="str">
        <x:v>Методология</x:v>
      </x:c>
      <x:c r="F106" s="112" t="str">
        <x:v>SRC-05</x:v>
      </x:c>
      <x:c r="G106" s="112" t="str">
        <x:v>Подтверждено</x:v>
      </x:c>
      <x:c r="H106" s="146" t="str">
        <x:v>P0</x:v>
      </x:c>
      <x:c r="I106" s="112" t="str">
        <x:v>P2</x:v>
      </x:c>
      <x:c r="J106" s="112" t="str">
        <x:v>Финансы / НСИ</x:v>
      </x:c>
      <x:c r="K106" s="112" t="str">
        <x:v>Финансовый директор</x:v>
      </x:c>
      <x:c r="L106" s="112" t="str">
        <x:v>Все используемые статьи имеют правило или согласованное исключение; дубли устранены.</x:v>
      </x:c>
      <x:c r="M106" s="112" t="str">
        <x:v>Методологическая сессия</x:v>
      </x:c>
      <x:c r="N106" s="112" t="str">
        <x:v>BASELINE</x:v>
      </x:c>
      <x:c r="O106" s="113" t="str">
        <x:v>G2</x:v>
      </x:c>
    </x:row>
    <x:row r="107" ht="56" customHeight="1">
      <x:c r="A107" s="111" t="str">
        <x:v>FIN-009</x:v>
      </x:c>
      <x:c r="B107" s="112" t="str">
        <x:v>Финансы и управленческий учёт</x:v>
      </x:c>
      <x:c r="C107" s="112" t="str">
        <x:v>Распределение расходов</x:v>
      </x:c>
      <x:c r="D107" s="112" t="str">
        <x:v>Зафиксировать базы распределения общих расходов и тестировать их на контрольном периоде.</x:v>
      </x:c>
      <x:c r="E107" s="112" t="str">
        <x:v>Методология</x:v>
      </x:c>
      <x:c r="F107" s="112" t="str">
        <x:v>SRC-05</x:v>
      </x:c>
      <x:c r="G107" s="112" t="str">
        <x:v>Требует утверждения</x:v>
      </x:c>
      <x:c r="H107" s="146" t="str">
        <x:v>P0</x:v>
      </x:c>
      <x:c r="I107" s="112" t="str">
        <x:v>P2-P6</x:v>
      </x:c>
      <x:c r="J107" s="112" t="str">
        <x:v>Финансы / 1С</x:v>
      </x:c>
      <x:c r="K107" s="112" t="str">
        <x:v>Финансовый директор</x:v>
      </x:c>
      <x:c r="L107" s="112" t="str">
        <x:v>Для каждой статьи указаны база, период, исключения и reconciliation до/после распределения.</x:v>
      </x:c>
      <x:c r="M107" s="112" t="str">
        <x:v>Статьи БДР</x:v>
      </x:c>
      <x:c r="N107" s="112" t="str">
        <x:v>ОТКРЫТОЕ РЕШЕНИЕ</x:v>
      </x:c>
      <x:c r="O107" s="113" t="str">
        <x:v>G2/G6</x:v>
      </x:c>
    </x:row>
    <x:row r="108" ht="56" customHeight="1">
      <x:c r="A108" s="111" t="str">
        <x:v>FIN-010</x:v>
      </x:c>
      <x:c r="B108" s="112" t="str">
        <x:v>Финансы и управленческий учёт</x:v>
      </x:c>
      <x:c r="C108" s="112" t="str">
        <x:v>P&amp;L по начислению</x:v>
      </x:c>
      <x:c r="D108" s="112" t="str">
        <x:v>Сформировать управленческий P&amp;L по утверждённому методу начисления с продажами, себестоимостью, расходами и корректировками.</x:v>
      </x:c>
      <x:c r="E108" s="112" t="str">
        <x:v>BI / методология</x:v>
      </x:c>
      <x:c r="F108" s="112" t="str">
        <x:v>SRC-01,SRC-05</x:v>
      </x:c>
      <x:c r="G108" s="112" t="str">
        <x:v>Потребность подтверждена, методика не утверждена</x:v>
      </x:c>
      <x:c r="H108" s="146" t="str">
        <x:v>P0</x:v>
      </x:c>
      <x:c r="I108" s="112" t="str">
        <x:v>P2-P6</x:v>
      </x:c>
      <x:c r="J108" s="112" t="str">
        <x:v>BI / финансы</x:v>
      </x:c>
      <x:c r="K108" s="112" t="str">
        <x:v>Финансовый директор</x:v>
      </x:c>
      <x:c r="L108" s="112" t="str">
        <x:v>Отчёт сверяется с закрытой УТ и расшифровывается до документа/проводки.</x:v>
      </x:c>
      <x:c r="M108" s="112" t="str">
        <x:v>Закрытие и классификаторы</x:v>
      </x:c>
      <x:c r="N108" s="112" t="str">
        <x:v>ОТКРЫТОЕ РЕШЕНИЕ</x:v>
      </x:c>
      <x:c r="O108" s="113" t="str">
        <x:v>G6</x:v>
      </x:c>
    </x:row>
    <x:row r="109" ht="56" customHeight="1">
      <x:c r="A109" s="111" t="str">
        <x:v>FIN-011</x:v>
      </x:c>
      <x:c r="B109" s="112" t="str">
        <x:v>Финансы и управленческий учёт</x:v>
      </x:c>
      <x:c r="C109" s="112" t="str">
        <x:v>БДДС</x:v>
      </x:c>
      <x:c r="D109" s="112" t="str">
        <x:v>Сформировать cash-flow на кассовом принципе с банком, кассой, заявками и внутренними перемещениями денег.</x:v>
      </x:c>
      <x:c r="E109" s="112" t="str">
        <x:v>BI / методология</x:v>
      </x:c>
      <x:c r="F109" s="112" t="str">
        <x:v>SRC-05</x:v>
      </x:c>
      <x:c r="G109" s="112" t="str">
        <x:v>Потребность подтверждена</x:v>
      </x:c>
      <x:c r="H109" s="146" t="str">
        <x:v>P1</x:v>
      </x:c>
      <x:c r="I109" s="112" t="str">
        <x:v>P2-P6</x:v>
      </x:c>
      <x:c r="J109" s="112" t="str">
        <x:v>BI / казначейство</x:v>
      </x:c>
      <x:c r="K109" s="112" t="str">
        <x:v>Финансовый директор</x:v>
      </x:c>
      <x:c r="L109" s="112" t="str">
        <x:v>Остатки начала + потоки = остатки конца; суммы сверяются с банком/кассой.</x:v>
      </x:c>
      <x:c r="M109" s="112" t="str">
        <x:v>Единая заявка платежа</x:v>
      </x:c>
      <x:c r="N109" s="112" t="str">
        <x:v>BASELINE</x:v>
      </x:c>
      <x:c r="O109" s="113" t="str">
        <x:v>G6</x:v>
      </x:c>
    </x:row>
    <x:row r="110" ht="56" customHeight="1">
      <x:c r="A110" s="111" t="str">
        <x:v>FIN-012</x:v>
      </x:c>
      <x:c r="B110" s="112" t="str">
        <x:v>Финансы и управленческий учёт</x:v>
      </x:c>
      <x:c r="C110" s="112" t="str">
        <x:v>Bridge P&amp;L↔ДДС</x:v>
      </x:c>
      <x:c r="D110" s="112" t="str">
        <x:v>Объяснять расхождение прибыли и денежных потоков через запасы, дебиторку/кредиторку, авансы, налоги и инвестиции.</x:v>
      </x:c>
      <x:c r="E110" s="112" t="str">
        <x:v>BI</x:v>
      </x:c>
      <x:c r="F110" s="112" t="str">
        <x:v>SRC-05</x:v>
      </x:c>
      <x:c r="G110" s="112" t="str">
        <x:v>Синтез методологии</x:v>
      </x:c>
      <x:c r="H110" s="146" t="str">
        <x:v>P1</x:v>
      </x:c>
      <x:c r="I110" s="112" t="str">
        <x:v>P6</x:v>
      </x:c>
      <x:c r="J110" s="112" t="str">
        <x:v>BI</x:v>
      </x:c>
      <x:c r="K110" s="112" t="str">
        <x:v>Финансовый директор</x:v>
      </x:c>
      <x:c r="L110" s="112" t="str">
        <x:v>Bridge за месяц сходится с P&amp;L и БДДС и имеет расшифровки.</x:v>
      </x:c>
      <x:c r="M110" s="112" t="str">
        <x:v>Утверждённая методика</x:v>
      </x:c>
      <x:c r="N110" s="112" t="str">
        <x:v>BASELINE</x:v>
      </x:c>
      <x:c r="O110" s="113" t="str">
        <x:v>G6</x:v>
      </x:c>
    </x:row>
    <x:row r="111" ht="56" customHeight="1">
      <x:c r="A111" s="111" t="str">
        <x:v>FIN-013</x:v>
      </x:c>
      <x:c r="B111" s="112" t="str">
        <x:v>Финансы и управленческий учёт</x:v>
      </x:c>
      <x:c r="C111" s="112" t="str">
        <x:v>Финансовый менеджер</x:v>
      </x:c>
      <x:c r="D111" s="112" t="str">
        <x:v>Провести отдельное интервью и хронометраж сборки управленческой отчётности: источники, сверки, формулы, корректировки и утверждение.</x:v>
      </x:c>
      <x:c r="E111" s="112" t="str">
        <x:v>Исследование</x:v>
      </x:c>
      <x:c r="F111" s="112" t="str">
        <x:v>SRC-05</x:v>
      </x:c>
      <x:c r="G111" s="112" t="str">
        <x:v>Открытое ограничение обследования</x:v>
      </x:c>
      <x:c r="H111" s="146" t="str">
        <x:v>P0</x:v>
      </x:c>
      <x:c r="I111" s="112" t="str">
        <x:v>P0-P2</x:v>
      </x:c>
      <x:c r="J111" s="112" t="str">
        <x:v>Управление</x:v>
      </x:c>
      <x:c r="K111" s="112" t="str">
        <x:v>Координатор</x:v>
      </x:c>
      <x:c r="L111" s="112" t="str">
        <x:v>Сформирована карта процесса и решён вопрос о целевом распределении роли.</x:v>
      </x:c>
      <x:c r="M111" s="112" t="str">
        <x:v>Доступность сотрудника</x:v>
      </x:c>
      <x:c r="N111" s="112" t="str">
        <x:v>ОТКРЫТО</x:v>
      </x:c>
      <x:c r="O111" s="113" t="str">
        <x:v>P0 action</x:v>
      </x:c>
    </x:row>
    <x:row r="112" ht="56" customHeight="1">
      <x:c r="A112" s="111" t="str">
        <x:v>FIN-014</x:v>
      </x:c>
      <x:c r="B112" s="112" t="str">
        <x:v>Финансы и управленческий учёт</x:v>
      </x:c>
      <x:c r="C112" s="112" t="str">
        <x:v>Казначейство</x:v>
      </x:c>
      <x:c r="D112" s="112" t="str">
        <x:v>Сохранить работающую логику реестра, унифицировать заявку, статусы, даты платежа, отсрочки и сверку с банком.</x:v>
      </x:c>
      <x:c r="E112" s="112" t="str">
        <x:v>Функциональное</x:v>
      </x:c>
      <x:c r="F112" s="112" t="str">
        <x:v>SRC-05</x:v>
      </x:c>
      <x:c r="G112" s="112" t="str">
        <x:v>Подтверждено</x:v>
      </x:c>
      <x:c r="H112" s="146" t="str">
        <x:v>P1</x:v>
      </x:c>
      <x:c r="I112" s="112" t="str">
        <x:v>P2-P6</x:v>
      </x:c>
      <x:c r="J112" s="112" t="str">
        <x:v>Казначейство / 1С</x:v>
      </x:c>
      <x:c r="K112" s="112" t="str">
        <x:v>Финансовый директор</x:v>
      </x:c>
      <x:c r="L112" s="112" t="str">
        <x:v>Каждое списание имеет заявку или утверждённое исключение; банк сверяется по ID/сумме.</x:v>
      </x:c>
      <x:c r="M112" s="112" t="str">
        <x:v>Выбор целевой платформы</x:v>
      </x:c>
      <x:c r="N112" s="112" t="str">
        <x:v>BASELINE</x:v>
      </x:c>
      <x:c r="O112" s="113" t="str">
        <x:v>G6</x:v>
      </x:c>
    </x:row>
    <x:row r="113" ht="56" customHeight="1">
      <x:c r="A113" s="111" t="str">
        <x:v>FIN-015</x:v>
      </x:c>
      <x:c r="B113" s="112" t="str">
        <x:v>Финансы и управленческий учёт</x:v>
      </x:c>
      <x:c r="C113" s="112" t="str">
        <x:v>Доступ к платёжной таблице</x:v>
      </x:c>
      <x:c r="D113" s="112" t="str">
        <x:v>Ограничить права по ролям, защитить формулы/справочники, вести журнал изменений и отозвать временные доступы.</x:v>
      </x:c>
      <x:c r="E113" s="112" t="str">
        <x:v>Безопасность</x:v>
      </x:c>
      <x:c r="F113" s="112" t="str">
        <x:v>SRC-05</x:v>
      </x:c>
      <x:c r="G113" s="112" t="str">
        <x:v>Подтверждено</x:v>
      </x:c>
      <x:c r="H113" s="146" t="str">
        <x:v>P0</x:v>
      </x:c>
      <x:c r="I113" s="112" t="str">
        <x:v>P0-P2</x:v>
      </x:c>
      <x:c r="J113" s="112" t="str">
        <x:v>Таблица/казначейство</x:v>
      </x:c>
      <x:c r="K113" s="112" t="str">
        <x:v>Финансовый директор</x:v>
      </x:c>
      <x:c r="L113" s="112" t="str">
        <x:v>Нет режима «любой по ссылке редактирует»; владельцы и редакторы утверждены.</x:v>
      </x:c>
      <x:c r="M113" s="112" t="str">
        <x:v>Инвентаризация доступа</x:v>
      </x:c>
      <x:c r="N113" s="112" t="str">
        <x:v>BASELINE</x:v>
      </x:c>
      <x:c r="O113" s="113" t="str">
        <x:v>P0 action</x:v>
      </x:c>
    </x:row>
    <x:row r="114" ht="56" customHeight="1">
      <x:c r="A114" s="111" t="str">
        <x:v>FIN-016</x:v>
      </x:c>
      <x:c r="B114" s="112" t="str">
        <x:v>Финансы и управленческий учёт</x:v>
      </x:c>
      <x:c r="C114" s="112" t="str">
        <x:v>Оптовая реализация</x:v>
      </x:c>
      <x:c r="D114" s="112" t="str">
        <x:v>Признавать выручку только при подтверждённой отгрузке; проводить реестр проведённых, но не отгруженных реализаций.</x:v>
      </x:c>
      <x:c r="E114" s="112" t="str">
        <x:v>Контроль</x:v>
      </x:c>
      <x:c r="F114" s="112" t="str">
        <x:v>SRC-05</x:v>
      </x:c>
      <x:c r="G114" s="112" t="str">
        <x:v>Подтверждено</x:v>
      </x:c>
      <x:c r="H114" s="146" t="str">
        <x:v>P0</x:v>
      </x:c>
      <x:c r="I114" s="112" t="str">
        <x:v>P1-P2</x:v>
      </x:c>
      <x:c r="J114" s="112" t="str">
        <x:v>1С / опт</x:v>
      </x:c>
      <x:c r="K114" s="112" t="str">
        <x:v>Коммерция + склад + финансы</x:v>
      </x:c>
      <x:c r="L114" s="112" t="str">
        <x:v>На закрытии нет необъяснённых проведённых реализаций без складского факта.</x:v>
      </x:c>
      <x:c r="M114" s="112" t="str">
        <x:v>Связь с документами склада</x:v>
      </x:c>
      <x:c r="N114" s="112" t="str">
        <x:v>BASELINE</x:v>
      </x:c>
      <x:c r="O114" s="113" t="str">
        <x:v>G1/G2</x:v>
      </x:c>
    </x:row>
    <x:row r="115" ht="56" customHeight="1">
      <x:c r="A115" s="111" t="str">
        <x:v>FIN-017</x:v>
      </x:c>
      <x:c r="B115" s="112" t="str">
        <x:v>Финансы и управленческий учёт</x:v>
      </x:c>
      <x:c r="C115" s="112" t="str">
        <x:v>Бухгалтерия</x:v>
      </x:c>
      <x:c r="D115" s="112" t="str">
        <x:v>Организовать регулярную сверку обмена УТ ↔ 1С:Бухгалтерия и реестр ручных корректировок.</x:v>
      </x:c>
      <x:c r="E115" s="112" t="str">
        <x:v>Контроль</x:v>
      </x:c>
      <x:c r="F115" s="112" t="str">
        <x:v>SRC-05</x:v>
      </x:c>
      <x:c r="G115" s="112" t="str">
        <x:v>Подтверждено</x:v>
      </x:c>
      <x:c r="H115" s="146" t="str">
        <x:v>P1</x:v>
      </x:c>
      <x:c r="I115" s="112" t="str">
        <x:v>P2-P6</x:v>
      </x:c>
      <x:c r="J115" s="112" t="str">
        <x:v>1С интеграция</x:v>
      </x:c>
      <x:c r="K115" s="112" t="str">
        <x:v>Главный бухгалтер</x:v>
      </x:c>
      <x:c r="L115" s="112" t="str">
        <x:v>Расхождения объяснены, согласованы и имеют статус; ручная запись имеет основание.</x:v>
      </x:c>
      <x:c r="M115" s="112" t="str">
        <x:v>Регламент обмена</x:v>
      </x:c>
      <x:c r="N115" s="112" t="str">
        <x:v>BASELINE</x:v>
      </x:c>
      <x:c r="O115" s="113" t="str">
        <x:v>G6</x:v>
      </x:c>
    </x:row>
    <x:row r="116" ht="56" customHeight="1">
      <x:c r="A116" s="111" t="str">
        <x:v>FIN-018</x:v>
      </x:c>
      <x:c r="B116" s="112" t="str">
        <x:v>Финансы и управленческий учёт</x:v>
      </x:c>
      <x:c r="C116" s="112" t="str">
        <x:v>Новые магазины</x:v>
      </x:c>
      <x:c r="D116" s="112" t="str">
        <x:v>Использовать чек-лист финансовой/ИТ-готовности магазина до первой продажи: НСИ, касса, обмен, банк, отчёты, тестовый день.</x:v>
      </x:c>
      <x:c r="E116" s="112" t="str">
        <x:v>Контроль</x:v>
      </x:c>
      <x:c r="F116" s="112" t="str">
        <x:v>SRC-05</x:v>
      </x:c>
      <x:c r="G116" s="112" t="str">
        <x:v>Подтверждено</x:v>
      </x:c>
      <x:c r="H116" s="146" t="str">
        <x:v>P0</x:v>
      </x:c>
      <x:c r="I116" s="112" t="str">
        <x:v>P2-P7</x:v>
      </x:c>
      <x:c r="J116" s="112" t="str">
        <x:v>Управление / 1С</x:v>
      </x:c>
      <x:c r="K116" s="112" t="str">
        <x:v>ИТ + финансы + розница</x:v>
      </x:c>
      <x:c r="L116" s="112" t="str">
        <x:v>Магазин не открывается без подписанного протокола готовности.</x:v>
      </x:c>
      <x:c r="M116" s="112" t="str">
        <x:v>Дата и владелец запуска</x:v>
      </x:c>
      <x:c r="N116" s="112" t="str">
        <x:v>BASELINE</x:v>
      </x:c>
      <x:c r="O116" s="113" t="str">
        <x:v>G2/G7</x:v>
      </x:c>
    </x:row>
    <x:row r="117" ht="56" customHeight="1">
      <x:c r="A117" s="111" t="str">
        <x:v>SAL-001</x:v>
      </x:c>
      <x:c r="B117" s="112" t="str">
        <x:v>Продажи и коммерческая аналитика</x:v>
      </x:c>
      <x:c r="C117" s="112" t="str">
        <x:v>Единый отчёт продаж</x:v>
      </x:c>
      <x:c r="D117" s="112" t="str">
        <x:v>Предоставить аналитику продаж, остатков, маржи и приходов по товару, группе, подразделению, городу, региону и руководителю.</x:v>
      </x:c>
      <x:c r="E117" s="112" t="str">
        <x:v>BI</x:v>
      </x:c>
      <x:c r="F117" s="112" t="str">
        <x:v>SRC-07,SRC-08</x:v>
      </x:c>
      <x:c r="G117" s="112" t="str">
        <x:v>Документы требований; часть показана на видео</x:v>
      </x:c>
      <x:c r="H117" s="146" t="str">
        <x:v>P1</x:v>
      </x:c>
      <x:c r="I117" s="112" t="str">
        <x:v>P6</x:v>
      </x:c>
      <x:c r="J117" s="112" t="str">
        <x:v>BI</x:v>
      </x:c>
      <x:c r="K117" s="112" t="str">
        <x:v>Коммерческий директор</x:v>
      </x:c>
      <x:c r="L117" s="112" t="str">
        <x:v>Фильтры и группировки работают; drill-down до SKU/документа; источники и период видимы.</x:v>
      </x:c>
      <x:c r="M117" s="112" t="str">
        <x:v>Методология показателей</x:v>
      </x:c>
      <x:c r="N117" s="112" t="str">
        <x:v>BASELINE</x:v>
      </x:c>
      <x:c r="O117" s="113" t="str">
        <x:v>G6</x:v>
      </x:c>
    </x:row>
    <x:row r="118" ht="56" customHeight="1">
      <x:c r="A118" s="111" t="str">
        <x:v>SAL-002</x:v>
      </x:c>
      <x:c r="B118" s="112" t="str">
        <x:v>Продажи и коммерческая аналитика</x:v>
      </x:c>
      <x:c r="C118" s="112" t="str">
        <x:v>Периоды</x:v>
      </x:c>
      <x:c r="D118" s="112" t="str">
        <x:v>Поддерживать произвольный диапазон и быстрый выбор день/неделя/месяц/год.</x:v>
      </x:c>
      <x:c r="E118" s="112" t="str">
        <x:v>Функциональное</x:v>
      </x:c>
      <x:c r="F118" s="112" t="str">
        <x:v>SRC-07</x:v>
      </x:c>
      <x:c r="G118" s="112" t="str">
        <x:v>Документ требований</x:v>
      </x:c>
      <x:c r="H118" s="146" t="str">
        <x:v>P2</x:v>
      </x:c>
      <x:c r="I118" s="112" t="str">
        <x:v>P6</x:v>
      </x:c>
      <x:c r="J118" s="112" t="str">
        <x:v>BI</x:v>
      </x:c>
      <x:c r="K118" s="112" t="str">
        <x:v>Продажи</x:v>
      </x:c>
      <x:c r="L118" s="112" t="str">
        <x:v>Границы периода однозначны и одинаковы во всех показателях.</x:v>
      </x:c>
      <x:c r="M118" s="112" t="str">
        <x:v>Календарь и timezone</x:v>
      </x:c>
      <x:c r="N118" s="112" t="str">
        <x:v>BASELINE</x:v>
      </x:c>
      <x:c r="O118" s="113" t="str">
        <x:v>G6</x:v>
      </x:c>
    </x:row>
    <x:row r="119" ht="56" customHeight="1">
      <x:c r="A119" s="111" t="str">
        <x:v>SAL-003</x:v>
      </x:c>
      <x:c r="B119" s="112" t="str">
        <x:v>Продажи и коммерческая аналитика</x:v>
      </x:c>
      <x:c r="C119" s="112" t="str">
        <x:v>Ранжирование</x:v>
      </x:c>
      <x:c r="D119" s="112" t="str">
        <x:v>Сортировать товары по продажам, остаткам, маржинальности и приходам; показывать top/bottom и вклад.</x:v>
      </x:c>
      <x:c r="E119" s="112" t="str">
        <x:v>BI</x:v>
      </x:c>
      <x:c r="F119" s="112" t="str">
        <x:v>SRC-07</x:v>
      </x:c>
      <x:c r="G119" s="112" t="str">
        <x:v>Документ требований</x:v>
      </x:c>
      <x:c r="H119" s="146" t="str">
        <x:v>P2</x:v>
      </x:c>
      <x:c r="I119" s="112" t="str">
        <x:v>P6</x:v>
      </x:c>
      <x:c r="J119" s="112" t="str">
        <x:v>BI</x:v>
      </x:c>
      <x:c r="K119" s="112" t="str">
        <x:v>Продажи + КМ</x:v>
      </x:c>
      <x:c r="L119" s="112" t="str">
        <x:v>Ранжирование соответствует выбранному периоду и фильтрам; tie rule документирован.</x:v>
      </x:c>
      <x:c r="M119" s="112" t="str">
        <x:v>Витрина продаж</x:v>
      </x:c>
      <x:c r="N119" s="112" t="str">
        <x:v>BASELINE</x:v>
      </x:c>
      <x:c r="O119" s="113" t="str">
        <x:v>G6</x:v>
      </x:c>
    </x:row>
    <x:row r="120" ht="56" customHeight="1">
      <x:c r="A120" s="111" t="str">
        <x:v>SAL-004</x:v>
      </x:c>
      <x:c r="B120" s="112" t="str">
        <x:v>Продажи и коммерческая аналитика</x:v>
      </x:c>
      <x:c r="C120" s="112" t="str">
        <x:v>Приход товара</x:v>
      </x:c>
      <x:c r="D120" s="112" t="str">
        <x:v>Показывать приход в штуках и коробках, цену за единицу, общую сумму и поставщика по выбранной иерархии.</x:v>
      </x:c>
      <x:c r="E120" s="112" t="str">
        <x:v>BI</x:v>
      </x:c>
      <x:c r="F120" s="112" t="str">
        <x:v>SRC-07</x:v>
      </x:c>
      <x:c r="G120" s="112" t="str">
        <x:v>Документ требований</x:v>
      </x:c>
      <x:c r="H120" s="146" t="str">
        <x:v>P1</x:v>
      </x:c>
      <x:c r="I120" s="112" t="str">
        <x:v>P6</x:v>
      </x:c>
      <x:c r="J120" s="112" t="str">
        <x:v>BI / 1С</x:v>
      </x:c>
      <x:c r="K120" s="112" t="str">
        <x:v>Склад + продажи</x:v>
      </x:c>
      <x:c r="L120" s="112" t="str">
        <x:v>Штуки/коробки связаны коэффициентом упаковки; сумма сверяется с документом.</x:v>
      </x:c>
      <x:c r="M120" s="112" t="str">
        <x:v>MDM упаковок</x:v>
      </x:c>
      <x:c r="N120" s="112" t="str">
        <x:v>BASELINE</x:v>
      </x:c>
      <x:c r="O120" s="113" t="str">
        <x:v>G6</x:v>
      </x:c>
    </x:row>
    <x:row r="121" ht="56" customHeight="1">
      <x:c r="A121" s="111" t="str">
        <x:v>SAL-005</x:v>
      </x:c>
      <x:c r="B121" s="112" t="str">
        <x:v>Продажи и коммерческая аналитика</x:v>
      </x:c>
      <x:c r="C121" s="112" t="str">
        <x:v>Остаток в отчёте продаж</x:v>
      </x:c>
      <x:c r="D121" s="112" t="str">
        <x:v>В отчёте продаж обязательна колонка остатка на конец периода/текущую дату с явным типом остатка.</x:v>
      </x:c>
      <x:c r="E121" s="112" t="str">
        <x:v>BI</x:v>
      </x:c>
      <x:c r="F121" s="112" t="str">
        <x:v>SRC-07,SRC-08</x:v>
      </x:c>
      <x:c r="G121" s="112" t="str">
        <x:v>Подтверждено</x:v>
      </x:c>
      <x:c r="H121" s="146" t="str">
        <x:v>P1</x:v>
      </x:c>
      <x:c r="I121" s="112" t="str">
        <x:v>P6</x:v>
      </x:c>
      <x:c r="J121" s="112" t="str">
        <x:v>BI</x:v>
      </x:c>
      <x:c r="K121" s="112" t="str">
        <x:v>Продажи</x:v>
      </x:c>
      <x:c r="L121" s="112" t="str">
        <x:v>Дата среза и тип остатка отображаются; результат сверяется с 1С.</x:v>
      </x:c>
      <x:c r="M121" s="112" t="str">
        <x:v>Определение остатка</x:v>
      </x:c>
      <x:c r="N121" s="112" t="str">
        <x:v>BASELINE</x:v>
      </x:c>
      <x:c r="O121" s="113" t="str">
        <x:v>G6</x:v>
      </x:c>
    </x:row>
    <x:row r="122" ht="56" customHeight="1">
      <x:c r="A122" s="111" t="str">
        <x:v>SAL-006</x:v>
      </x:c>
      <x:c r="B122" s="112" t="str">
        <x:v>Продажи и коммерческая аналитика</x:v>
      </x:c>
      <x:c r="C122" s="112" t="str">
        <x:v>Карточка SKU</x:v>
      </x:c>
      <x:c r="D122" s="112" t="str">
        <x:v>В карточке товара показывать продажи, остатки, последнюю себестоимость, текущую цену, приходы и движение.</x:v>
      </x:c>
      <x:c r="E122" s="112" t="str">
        <x:v>Функциональное</x:v>
      </x:c>
      <x:c r="F122" s="112" t="str">
        <x:v>SRC-02,SRC-03,SRC-08</x:v>
      </x:c>
      <x:c r="G122" s="112" t="str">
        <x:v>Показано и формализовано</x:v>
      </x:c>
      <x:c r="H122" s="146" t="str">
        <x:v>P1</x:v>
      </x:c>
      <x:c r="I122" s="112" t="str">
        <x:v>P6</x:v>
      </x:c>
      <x:c r="J122" s="112" t="str">
        <x:v>BI / 1С</x:v>
      </x:c>
      <x:c r="K122" s="112" t="str">
        <x:v>КМ + продажи</x:v>
      </x:c>
      <x:c r="L122" s="112" t="str">
        <x:v>Все показатели имеют дату/период и переход к первичному документу.</x:v>
      </x:c>
      <x:c r="M122" s="112" t="str">
        <x:v>Методология и права</x:v>
      </x:c>
      <x:c r="N122" s="112" t="str">
        <x:v>BASELINE</x:v>
      </x:c>
      <x:c r="O122" s="113" t="str">
        <x:v>G6</x:v>
      </x:c>
    </x:row>
    <x:row r="123" ht="56" customHeight="1">
      <x:c r="A123" s="111" t="str">
        <x:v>SAL-007</x:v>
      </x:c>
      <x:c r="B123" s="112" t="str">
        <x:v>Продажи и коммерческая аналитика</x:v>
      </x:c>
      <x:c r="C123" s="112" t="str">
        <x:v>Возвраты и списания</x:v>
      </x:c>
      <x:c r="D123" s="112" t="str">
        <x:v>Показывать продажи отдельно от возвратов и списаний; не скрывать их взаимозачётом.</x:v>
      </x:c>
      <x:c r="E123" s="112" t="str">
        <x:v>BI</x:v>
      </x:c>
      <x:c r="F123" s="112" t="str">
        <x:v>SRC-07</x:v>
      </x:c>
      <x:c r="G123" s="112" t="str">
        <x:v>Документ требований</x:v>
      </x:c>
      <x:c r="H123" s="146" t="str">
        <x:v>P1</x:v>
      </x:c>
      <x:c r="I123" s="112" t="str">
        <x:v>P6</x:v>
      </x:c>
      <x:c r="J123" s="112" t="str">
        <x:v>BI</x:v>
      </x:c>
      <x:c r="K123" s="112" t="str">
        <x:v>Продажи + финансы</x:v>
      </x:c>
      <x:c r="L123" s="112" t="str">
        <x:v>Отдельные меры и net measure сходятся; причины списаний доступны.</x:v>
      </x:c>
      <x:c r="M123" s="112" t="str">
        <x:v>Классификатор операций</x:v>
      </x:c>
      <x:c r="N123" s="112" t="str">
        <x:v>BASELINE</x:v>
      </x:c>
      <x:c r="O123" s="113" t="str">
        <x:v>G6</x:v>
      </x:c>
    </x:row>
    <x:row r="124" ht="56" customHeight="1">
      <x:c r="A124" s="111" t="str">
        <x:v>SAL-008</x:v>
      </x:c>
      <x:c r="B124" s="112" t="str">
        <x:v>Продажи и коммерческая аналитика</x:v>
      </x:c>
      <x:c r="C124" s="112" t="str">
        <x:v>Кассовая книга</x:v>
      </x:c>
      <x:c r="D124" s="112" t="str">
        <x:v>Вести отчёт по кассе каждой точки: остаток, продажи, поступления, инкассация и иные операции за период.</x:v>
      </x:c>
      <x:c r="E124" s="112" t="str">
        <x:v>Функциональное</x:v>
      </x:c>
      <x:c r="F124" s="112" t="str">
        <x:v>SRC-07,SRC-05</x:v>
      </x:c>
      <x:c r="G124" s="112" t="str">
        <x:v>Потребность и выявленный разрыв</x:v>
      </x:c>
      <x:c r="H124" s="146" t="str">
        <x:v>P1</x:v>
      </x:c>
      <x:c r="I124" s="112" t="str">
        <x:v>P1-P6</x:v>
      </x:c>
      <x:c r="J124" s="112" t="str">
        <x:v>1С / BI</x:v>
      </x:c>
      <x:c r="K124" s="112" t="str">
        <x:v>Финансы + розница</x:v>
      </x:c>
      <x:c r="L124" s="112" t="str">
        <x:v>Начальный остаток + движения = конечный; кассы не смешиваются между точками.</x:v>
      </x:c>
      <x:c r="M124" s="112" t="str">
        <x:v>Разделение касс</x:v>
      </x:c>
      <x:c r="N124" s="112" t="str">
        <x:v>BASELINE</x:v>
      </x:c>
      <x:c r="O124" s="113" t="str">
        <x:v>G1/G6</x:v>
      </x:c>
    </x:row>
    <x:row r="125" ht="56" customHeight="1">
      <x:c r="A125" s="111" t="str">
        <x:v>SAL-009</x:v>
      </x:c>
      <x:c r="B125" s="112" t="str">
        <x:v>Продажи и коммерческая аналитика</x:v>
      </x:c>
      <x:c r="C125" s="112" t="str">
        <x:v>План-факт продаж</x:v>
      </x:c>
      <x:c r="D125" s="112" t="str">
        <x:v>Поддержать план-факт выручки/маржи/количества по магазинам, регионам и ответственным.</x:v>
      </x:c>
      <x:c r="E125" s="112" t="str">
        <x:v>BI</x:v>
      </x:c>
      <x:c r="F125" s="112" t="str">
        <x:v>SRC-01,SRC-08</x:v>
      </x:c>
      <x:c r="G125" s="112" t="str">
        <x:v>Потребность; модель плана не утверждена</x:v>
      </x:c>
      <x:c r="H125" s="146" t="str">
        <x:v>P2</x:v>
      </x:c>
      <x:c r="I125" s="112" t="str">
        <x:v>P6</x:v>
      </x:c>
      <x:c r="J125" s="112" t="str">
        <x:v>BI</x:v>
      </x:c>
      <x:c r="K125" s="112" t="str">
        <x:v>Коммерческий директор</x:v>
      </x:c>
      <x:c r="L125" s="112" t="str">
        <x:v>План имеет версию и владельца; факт сверяется с закрытыми продажами.</x:v>
      </x:c>
      <x:c r="M125" s="112" t="str">
        <x:v>Процесс планирования</x:v>
      </x:c>
      <x:c r="N125" s="112" t="str">
        <x:v>ТРЕБУЕТ ВЕРИФИКАЦИИ</x:v>
      </x:c>
      <x:c r="O125" s="113" t="str">
        <x:v>Future BI</x:v>
      </x:c>
    </x:row>
    <x:row r="126" ht="56" customHeight="1">
      <x:c r="A126" s="111" t="str">
        <x:v>SAL-010</x:v>
      </x:c>
      <x:c r="B126" s="112" t="str">
        <x:v>Продажи и коммерческая аналитика</x:v>
      </x:c>
      <x:c r="C126" s="112" t="str">
        <x:v>ABC/XYZ</x:v>
      </x:c>
      <x:c r="D126" s="112" t="str">
        <x:v>Рассчитывать ABC/XYZ по согласованным показателям, периоду и уровню иерархии; хранить версию классификации.</x:v>
      </x:c>
      <x:c r="E126" s="112" t="str">
        <x:v>BI</x:v>
      </x:c>
      <x:c r="F126" s="112" t="str">
        <x:v>SRC-08</x:v>
      </x:c>
      <x:c r="G126" s="112" t="str">
        <x:v>Исходное требование</x:v>
      </x:c>
      <x:c r="H126" s="146" t="str">
        <x:v>P2</x:v>
      </x:c>
      <x:c r="I126" s="112" t="str">
        <x:v>P6</x:v>
      </x:c>
      <x:c r="J126" s="112" t="str">
        <x:v>BI</x:v>
      </x:c>
      <x:c r="K126" s="112" t="str">
        <x:v>Категорийный менеджмент</x:v>
      </x:c>
      <x:c r="L126" s="112" t="str">
        <x:v>Методика утверждена; классы воспроизводятся на контрольном наборе.</x:v>
      </x:c>
      <x:c r="M126" s="112" t="str">
        <x:v>Формулы и период</x:v>
      </x:c>
      <x:c r="N126" s="112" t="str">
        <x:v>ТРЕБУЕТ ВЕРИФИКАЦИИ</x:v>
      </x:c>
      <x:c r="O126" s="113" t="str">
        <x:v>Future BI</x:v>
      </x:c>
    </x:row>
    <x:row r="127" ht="56" customHeight="1">
      <x:c r="A127" s="111" t="str">
        <x:v>SAL-011</x:v>
      </x:c>
      <x:c r="B127" s="112" t="str">
        <x:v>Продажи и коммерческая аналитика</x:v>
      </x:c>
      <x:c r="C127" s="112" t="str">
        <x:v>Ассортиментные матрицы</x:v>
      </x:c>
      <x:c r="D127" s="112" t="str">
        <x:v>Показывать ассортиментную матрицу по магазину/формату и отклонения факта: отсутствует, лишний, OOS, не продаётся.</x:v>
      </x:c>
      <x:c r="E127" s="112" t="str">
        <x:v>BI</x:v>
      </x:c>
      <x:c r="F127" s="112" t="str">
        <x:v>SRC-08</x:v>
      </x:c>
      <x:c r="G127" s="112" t="str">
        <x:v>Исходное требование</x:v>
      </x:c>
      <x:c r="H127" s="146" t="str">
        <x:v>P1</x:v>
      </x:c>
      <x:c r="I127" s="112" t="str">
        <x:v>P2-P6</x:v>
      </x:c>
      <x:c r="J127" s="112" t="str">
        <x:v>1С / BI</x:v>
      </x:c>
      <x:c r="K127" s="112" t="str">
        <x:v>Категорийный менеджмент</x:v>
      </x:c>
      <x:c r="L127" s="112" t="str">
        <x:v>Матрица версионирована; каждое отклонение имеет причину и действие.</x:v>
      </x:c>
      <x:c r="M127" s="112" t="str">
        <x:v>НСИ форматов и матриц</x:v>
      </x:c>
      <x:c r="N127" s="112" t="str">
        <x:v>ТРЕБУЕТ ВЕРИФИКАЦИИ</x:v>
      </x:c>
      <x:c r="O127" s="113" t="str">
        <x:v>Future BI</x:v>
      </x:c>
    </x:row>
    <x:row r="128" ht="56" customHeight="1">
      <x:c r="A128" s="111" t="str">
        <x:v>SAL-012</x:v>
      </x:c>
      <x:c r="B128" s="112" t="str">
        <x:v>Продажи и коммерческая аналитика</x:v>
      </x:c>
      <x:c r="C128" s="112" t="str">
        <x:v>QlikView-референс</x:v>
      </x:c>
      <x:c r="D128" s="112" t="str">
        <x:v>Сохранить привычные принципы гибкой группировки/сортировки QlikView, но строить отчёт на утверждённых источниках и формулах.</x:v>
      </x:c>
      <x:c r="E128" s="112" t="str">
        <x:v>UX / BI</x:v>
      </x:c>
      <x:c r="F128" s="112" t="str">
        <x:v>SRC-07,SRC-01</x:v>
      </x:c>
      <x:c r="G128" s="112" t="str">
        <x:v>Пользовательское ожидание</x:v>
      </x:c>
      <x:c r="H128" s="146" t="str">
        <x:v>P2</x:v>
      </x:c>
      <x:c r="I128" s="112" t="str">
        <x:v>P6</x:v>
      </x:c>
      <x:c r="J128" s="112" t="str">
        <x:v>BI</x:v>
      </x:c>
      <x:c r="K128" s="112" t="str">
        <x:v>Продажи + собственник</x:v>
      </x:c>
      <x:c r="L128" s="112" t="str">
        <x:v>Пользовательские сценарии выполняются без Excel-сводки; показатели имеют паспорт.</x:v>
      </x:c>
      <x:c r="M128" s="112" t="str">
        <x:v>Выбор BI платформы</x:v>
      </x:c>
      <x:c r="N128" s="112" t="str">
        <x:v>BASELINE</x:v>
      </x:c>
      <x:c r="O128" s="113" t="str">
        <x:v>G6</x:v>
      </x:c>
    </x:row>
    <x:row r="129" ht="56" customHeight="1">
      <x:c r="A129" s="111" t="str">
        <x:v>BI-001</x:v>
      </x:c>
      <x:c r="B129" s="112" t="str">
        <x:v>BI и контроль качества</x:v>
      </x:c>
      <x:c r="C129" s="112" t="str">
        <x:v>Архитектура BI</x:v>
      </x:c>
      <x:c r="D129" s="112" t="str">
        <x:v>BI и аналитическая платформа являются read-oriented слоем и не изменяют НСИ или хозяйственные документы.</x:v>
      </x:c>
      <x:c r="E129" s="112" t="str">
        <x:v>Архитектурное</x:v>
      </x:c>
      <x:c r="F129" s="112" t="str">
        <x:v>SRC-01,SRC-12,SRC-19</x:v>
      </x:c>
      <x:c r="G129" s="112" t="str">
        <x:v>Принято</x:v>
      </x:c>
      <x:c r="H129" s="146" t="str">
        <x:v>P0</x:v>
      </x:c>
      <x:c r="I129" s="112" t="str">
        <x:v>P6</x:v>
      </x:c>
      <x:c r="J129" s="112" t="str">
        <x:v>BI</x:v>
      </x:c>
      <x:c r="K129" s="112" t="str">
        <x:v>Архитектурный комитет</x:v>
      </x:c>
      <x:c r="L129" s="112" t="str">
        <x:v>У BI нет прав записи в мастер-данные/документы; корректировки выполняются в источнике.</x:v>
      </x:c>
      <x:c r="M129" s="112" t="str">
        <x:v>Модель интеграции</x:v>
      </x:c>
      <x:c r="N129" s="112" t="str">
        <x:v>BASELINE</x:v>
      </x:c>
      <x:c r="O129" s="113" t="str">
        <x:v>ADR-001</x:v>
      </x:c>
    </x:row>
    <x:row r="130" ht="56" customHeight="1">
      <x:c r="A130" s="111" t="str">
        <x:v>BI-002</x:v>
      </x:c>
      <x:c r="B130" s="112" t="str">
        <x:v>BI и контроль качества</x:v>
      </x:c>
      <x:c r="C130" s="112" t="str">
        <x:v>Паспорта показателей</x:v>
      </x:c>
      <x:c r="D130" s="112" t="str">
        <x:v>Каждый KPI имеет название, формулу, единицу, НДС/скидки/возвраты, период, источник, owner, refresh и допустимые исключения.</x:v>
      </x:c>
      <x:c r="E130" s="112" t="str">
        <x:v>Методология</x:v>
      </x:c>
      <x:c r="F130" s="112" t="str">
        <x:v>SRC-02,SRC-05,SRC-08</x:v>
      </x:c>
      <x:c r="G130" s="112" t="str">
        <x:v>Ключевой вывод исследования</x:v>
      </x:c>
      <x:c r="H130" s="146" t="str">
        <x:v>P0</x:v>
      </x:c>
      <x:c r="I130" s="112" t="str">
        <x:v>P2-P6</x:v>
      </x:c>
      <x:c r="J130" s="112" t="str">
        <x:v>BI governance</x:v>
      </x:c>
      <x:c r="K130" s="112" t="str">
        <x:v>Владельцы показателей</x:v>
      </x:c>
      <x:c r="L130" s="112" t="str">
        <x:v>Паспорт утверждён до публикации production dashboard.</x:v>
      </x:c>
      <x:c r="M130" s="112" t="str">
        <x:v>G2</x:v>
      </x:c>
      <x:c r="N130" s="112" t="str">
        <x:v>BASELINE</x:v>
      </x:c>
      <x:c r="O130" s="113" t="str">
        <x:v>G2/G6</x:v>
      </x:c>
    </x:row>
    <x:row r="131" ht="56" customHeight="1">
      <x:c r="A131" s="111" t="str">
        <x:v>BI-003</x:v>
      </x:c>
      <x:c r="B131" s="112" t="str">
        <x:v>BI и контроль качества</x:v>
      </x:c>
      <x:c r="C131" s="112" t="str">
        <x:v>Drill-down</x:v>
      </x:c>
      <x:c r="D131" s="112" t="str">
        <x:v>Все агрегаты P&amp;L, продаж, остатков и качества данных расшифровываются до документа/строки/исходного файла.</x:v>
      </x:c>
      <x:c r="E131" s="112" t="str">
        <x:v>Контроль</x:v>
      </x:c>
      <x:c r="F131" s="112" t="str">
        <x:v>SRC-05,SRC-09</x:v>
      </x:c>
      <x:c r="G131" s="112" t="str">
        <x:v>Baseline</x:v>
      </x:c>
      <x:c r="H131" s="146" t="str">
        <x:v>P0</x:v>
      </x:c>
      <x:c r="I131" s="112" t="str">
        <x:v>P6</x:v>
      </x:c>
      <x:c r="J131" s="112" t="str">
        <x:v>BI + источники</x:v>
      </x:c>
      <x:c r="K131" s="112" t="str">
        <x:v>Финансы / продажи</x:v>
      </x:c>
      <x:c r="L131" s="112" t="str">
        <x:v>Пользователь проходит от KPI до первичного факта без ручного поиска в нескольких Excel.</x:v>
      </x:c>
      <x:c r="M131" s="112" t="str">
        <x:v>Trace IDs</x:v>
      </x:c>
      <x:c r="N131" s="112" t="str">
        <x:v>BASELINE</x:v>
      </x:c>
      <x:c r="O131" s="113" t="str">
        <x:v>TASK-024</x:v>
      </x:c>
    </x:row>
    <x:row r="132" ht="56" customHeight="1">
      <x:c r="A132" s="111" t="str">
        <x:v>BI-004</x:v>
      </x:c>
      <x:c r="B132" s="112" t="str">
        <x:v>BI и контроль качества</x:v>
      </x:c>
      <x:c r="C132" s="112" t="str">
        <x:v>Freshness</x:v>
      </x:c>
      <x:c r="D132" s="112" t="str">
        <x:v>Показывать дату/время последнего успешного обновления и статус источников; устаревшие данные заметны пользователю.</x:v>
      </x:c>
      <x:c r="E132" s="112" t="str">
        <x:v>Нефункциональное</x:v>
      </x:c>
      <x:c r="F132" s="112" t="str">
        <x:v>SRC-01,SRC-05</x:v>
      </x:c>
      <x:c r="G132" s="112" t="str">
        <x:v>Синтез рисков</x:v>
      </x:c>
      <x:c r="H132" s="146" t="str">
        <x:v>P1</x:v>
      </x:c>
      <x:c r="I132" s="112" t="str">
        <x:v>P6</x:v>
      </x:c>
      <x:c r="J132" s="112" t="str">
        <x:v>BI / мониторинг</x:v>
      </x:c>
      <x:c r="K132" s="112" t="str">
        <x:v>ИТ</x:v>
      </x:c>
      <x:c r="L132" s="112" t="str">
        <x:v>Dashboard показывает freshness SLA и блокирующие ошибки загрузки.</x:v>
      </x:c>
      <x:c r="M132" s="112" t="str">
        <x:v>Мониторинг обменов</x:v>
      </x:c>
      <x:c r="N132" s="112" t="str">
        <x:v>BASELINE</x:v>
      </x:c>
      <x:c r="O132" s="113" t="str">
        <x:v>TASK-024</x:v>
      </x:c>
    </x:row>
    <x:row r="133" ht="56" customHeight="1">
      <x:c r="A133" s="111" t="str">
        <x:v>BI-005</x:v>
      </x:c>
      <x:c r="B133" s="112" t="str">
        <x:v>BI и контроль качества</x:v>
      </x:c>
      <x:c r="C133" s="112" t="str">
        <x:v>DQ dashboard</x:v>
      </x:c>
      <x:c r="D133" s="112" t="str">
        <x:v>Показывать дубли, пропуски, negative stock, failed documents, unmapped rows, template drift, age и владельца исключения.</x:v>
      </x:c>
      <x:c r="E133" s="112" t="str">
        <x:v>BI / контроль</x:v>
      </x:c>
      <x:c r="F133" s="112" t="str">
        <x:v>SRC-05,SRC-09</x:v>
      </x:c>
      <x:c r="G133" s="112" t="str">
        <x:v>Baseline</x:v>
      </x:c>
      <x:c r="H133" s="146" t="str">
        <x:v>P1</x:v>
      </x:c>
      <x:c r="I133" s="112" t="str">
        <x:v>P3-P6</x:v>
      </x:c>
      <x:c r="J133" s="112" t="str">
        <x:v>BI / сервис / 1С</x:v>
      </x:c>
      <x:c r="K133" s="112" t="str">
        <x:v>Data owner</x:v>
      </x:c>
      <x:c r="L133" s="112" t="str">
        <x:v>Очередь исключений согласована с первичными реестрами и имеет SLA.</x:v>
      </x:c>
      <x:c r="M133" s="112" t="str">
        <x:v>DQ codes</x:v>
      </x:c>
      <x:c r="N133" s="112" t="str">
        <x:v>BASELINE</x:v>
      </x:c>
      <x:c r="O133" s="113" t="str">
        <x:v>TASK-014,TASK-024</x:v>
      </x:c>
    </x:row>
    <x:row r="134" ht="56" customHeight="1">
      <x:c r="A134" s="111" t="str">
        <x:v>BI-006</x:v>
      </x:c>
      <x:c r="B134" s="112" t="str">
        <x:v>BI и контроль качества</x:v>
      </x:c>
      <x:c r="C134" s="112" t="str">
        <x:v>P&amp;L референс</x:v>
      </x:c>
      <x:c r="D134" s="112" t="str">
        <x:v>Изучить прежний понятный собственнику P&amp;L как референс интерфейса, расшифровок и ключевых показателей, не копируя неподтверждённую методику.</x:v>
      </x:c>
      <x:c r="E134" s="112" t="str">
        <x:v>Исследование / UX</x:v>
      </x:c>
      <x:c r="F134" s="112" t="str">
        <x:v>SRC-01</x:v>
      </x:c>
      <x:c r="G134" s="112" t="str">
        <x:v>Подтверждено</x:v>
      </x:c>
      <x:c r="H134" s="146" t="str">
        <x:v>P1</x:v>
      </x:c>
      <x:c r="I134" s="112" t="str">
        <x:v>P2-P6</x:v>
      </x:c>
      <x:c r="J134" s="112" t="str">
        <x:v>BI</x:v>
      </x:c>
      <x:c r="K134" s="112" t="str">
        <x:v>Финансовый директор / собственник</x:v>
      </x:c>
      <x:c r="L134" s="112" t="str">
        <x:v>Прототип проходит review собственника; формулы утверждены отдельно.</x:v>
      </x:c>
      <x:c r="M134" s="112" t="str">
        <x:v>Доступ к старому модулю</x:v>
      </x:c>
      <x:c r="N134" s="112" t="str">
        <x:v>ОТКРЫТО</x:v>
      </x:c>
      <x:c r="O134" s="113" t="str">
        <x:v>G2/G6</x:v>
      </x:c>
    </x:row>
    <x:row r="135" ht="56" customHeight="1">
      <x:c r="A135" s="111" t="str">
        <x:v>BI-007</x:v>
      </x:c>
      <x:c r="B135" s="112" t="str">
        <x:v>BI и контроль качества</x:v>
      </x:c>
      <x:c r="C135" s="112" t="str">
        <x:v>Ролевой доступ</x:v>
      </x:c>
      <x:c r="D135" s="112" t="str">
        <x:v>Ограничивать отчёты по юридическому лицу, региону, магазину и роли; финансовые данные не публиковать всем пользователям.</x:v>
      </x:c>
      <x:c r="E135" s="112" t="str">
        <x:v>Безопасность</x:v>
      </x:c>
      <x:c r="F135" s="112" t="str">
        <x:v>SRC-05,SRC-11</x:v>
      </x:c>
      <x:c r="G135" s="112" t="str">
        <x:v>Baseline</x:v>
      </x:c>
      <x:c r="H135" s="146" t="str">
        <x:v>P0</x:v>
      </x:c>
      <x:c r="I135" s="112" t="str">
        <x:v>P6-P7</x:v>
      </x:c>
      <x:c r="J135" s="112" t="str">
        <x:v>BI / IAM</x:v>
      </x:c>
      <x:c r="K135" s="112" t="str">
        <x:v>Data owner</x:v>
      </x:c>
      <x:c r="L135" s="112" t="str">
        <x:v>Матрица доступа протестирована; запрещённые срезы недоступны UI и API.</x:v>
      </x:c>
      <x:c r="M135" s="112" t="str">
        <x:v>IAM/SSO</x:v>
      </x:c>
      <x:c r="N135" s="112" t="str">
        <x:v>BASELINE</x:v>
      </x:c>
      <x:c r="O135" s="113" t="str">
        <x:v>TASK-024</x:v>
      </x:c>
    </x:row>
    <x:row r="136" ht="56" customHeight="1">
      <x:c r="A136" s="111" t="str">
        <x:v>BI-008</x:v>
      </x:c>
      <x:c r="B136" s="112" t="str">
        <x:v>BI и контроль качества</x:v>
      </x:c>
      <x:c r="C136" s="112" t="str">
        <x:v>Экспорт</x:v>
      </x:c>
      <x:c r="D136" s="112" t="str">
        <x:v>Разрешить контролируемый экспорт XLSX/PDF с датой, фильтрами, версией и уровнем конфиденциальности.</x:v>
      </x:c>
      <x:c r="E136" s="112" t="str">
        <x:v>Функциональное</x:v>
      </x:c>
      <x:c r="F136" s="112" t="str">
        <x:v>SRC-07,SRC-08</x:v>
      </x:c>
      <x:c r="G136" s="112" t="str">
        <x:v>Пользовательская потребность</x:v>
      </x:c>
      <x:c r="H136" s="146" t="str">
        <x:v>P2</x:v>
      </x:c>
      <x:c r="I136" s="112" t="str">
        <x:v>P6</x:v>
      </x:c>
      <x:c r="J136" s="112" t="str">
        <x:v>BI</x:v>
      </x:c>
      <x:c r="K136" s="112" t="str">
        <x:v>Product owner</x:v>
      </x:c>
      <x:c r="L136" s="112" t="str">
        <x:v>Экспорт совпадает с экраном и содержит metadata; массовый экспорт аудитируется.</x:v>
      </x:c>
      <x:c r="M136" s="112" t="str">
        <x:v>Политика данных</x:v>
      </x:c>
      <x:c r="N136" s="112" t="str">
        <x:v>BASELINE</x:v>
      </x:c>
      <x:c r="O136" s="113" t="str">
        <x:v>TASK-024</x:v>
      </x:c>
    </x:row>
    <x:row r="137" ht="56" customHeight="1">
      <x:c r="A137" s="111" t="str">
        <x:v>NFR-001</x:v>
      </x:c>
      <x:c r="B137" s="112" t="str">
        <x:v>Нефункциональные требования</x:v>
      </x:c>
      <x:c r="C137" s="112" t="str">
        <x:v>Безопасная обработка файлов</x:v>
      </x:c>
      <x:c r="D137" s="112" t="str">
        <x:v>Недоверенные файлы обрабатывать без макросов/формул/COM, с MIME/signature checks, лимитами и изоляцией legacy reader.</x:v>
      </x:c>
      <x:c r="E137" s="112" t="str">
        <x:v>Безопасность</x:v>
      </x:c>
      <x:c r="F137" s="112" t="str">
        <x:v>SRC-09,SRC-11,SRC-12</x:v>
      </x:c>
      <x:c r="G137" s="112" t="str">
        <x:v>Baseline</x:v>
      </x:c>
      <x:c r="H137" s="146" t="str">
        <x:v>P0</x:v>
      </x:c>
      <x:c r="I137" s="112" t="str">
        <x:v>P3</x:v>
      </x:c>
      <x:c r="J137" s="112" t="str">
        <x:v>Внешний сервис</x:v>
      </x:c>
      <x:c r="K137" s="112" t="str">
        <x:v>Security / техлид</x:v>
      </x:c>
      <x:c r="L137" s="112" t="str">
        <x:v>Malicious fixtures не выполняют код, не выходят в сеть и дают typed issue.</x:v>
      </x:c>
      <x:c r="M137" s="112" t="str">
        <x:v>Reader implementation</x:v>
      </x:c>
      <x:c r="N137" s="112" t="str">
        <x:v>ЧАСТИЧНО РЕАЛИЗОВАНО</x:v>
      </x:c>
      <x:c r="O137" s="113" t="str">
        <x:v>TASK-007,TASK-009,TASK-024</x:v>
      </x:c>
    </x:row>
    <x:row r="138" ht="56" customHeight="1">
      <x:c r="A138" s="111" t="str">
        <x:v>NFR-002</x:v>
      </x:c>
      <x:c r="B138" s="112" t="str">
        <x:v>Нефункциональные требования</x:v>
      </x:c>
      <x:c r="C138" s="112" t="str">
        <x:v>Immutable raw</x:v>
      </x:c>
      <x:c r="D138" s="112" t="str">
        <x:v>Оригиналы и технические события хранить неизменяемо; удаление — только по утверждённой retention policy.</x:v>
      </x:c>
      <x:c r="E138" s="112" t="str">
        <x:v>Нефункциональное</x:v>
      </x:c>
      <x:c r="F138" s="112" t="str">
        <x:v>SRC-09,SRC-11,SRC-12</x:v>
      </x:c>
      <x:c r="G138" s="112" t="str">
        <x:v>Принято и реализовано для raw</x:v>
      </x:c>
      <x:c r="H138" s="146" t="str">
        <x:v>P0</x:v>
      </x:c>
      <x:c r="I138" s="112" t="str">
        <x:v>P3-P7</x:v>
      </x:c>
      <x:c r="J138" s="112" t="str">
        <x:v>S3/MinIO + DB</x:v>
      </x:c>
      <x:c r="K138" s="112" t="str">
        <x:v>Технический лидер</x:v>
      </x:c>
      <x:c r="L138" s="112" t="str">
        <x:v>No-overwrite подтверждён; digest/size проверяются; retention журналируется.</x:v>
      </x:c>
      <x:c r="M138" s="112" t="str">
        <x:v>Retention decision</x:v>
      </x:c>
      <x:c r="N138" s="112" t="str">
        <x:v>ЧАСТИЧНО РЕАЛИЗОВАНО</x:v>
      </x:c>
      <x:c r="O138" s="113" t="str">
        <x:v>WORK-002,TASK-024</x:v>
      </x:c>
    </x:row>
    <x:row r="139" ht="56" customHeight="1">
      <x:c r="A139" s="111" t="str">
        <x:v>NFR-003</x:v>
      </x:c>
      <x:c r="B139" s="112" t="str">
        <x:v>Нефункциональные требования</x:v>
      </x:c>
      <x:c r="C139" s="112" t="str">
        <x:v>Производительность</x:v>
      </x:c>
      <x:c r="D139" s="112" t="str">
        <x:v>Обрабатывать пилотные файлы и объёмы без обязательной полной загрузки workbook в память; поддерживать pagination/chunks.</x:v>
      </x:c>
      <x:c r="E139" s="112" t="str">
        <x:v>Производительность</x:v>
      </x:c>
      <x:c r="F139" s="112" t="str">
        <x:v>SRC-09,SRC-11</x:v>
      </x:c>
      <x:c r="G139" s="112" t="str">
        <x:v>Baseline</x:v>
      </x:c>
      <x:c r="H139" s="146" t="str">
        <x:v>P1</x:v>
      </x:c>
      <x:c r="I139" s="112" t="str">
        <x:v>P3-P4</x:v>
      </x:c>
      <x:c r="J139" s="112" t="str">
        <x:v>Сервис / UI</x:v>
      </x:c>
      <x:c r="K139" s="112" t="str">
        <x:v>Технический лидер</x:v>
      </x:c>
      <x:c r="L139" s="112" t="str">
        <x:v>Load test на согласованном максимуме проходит SLA без OOM и silent truncation.</x:v>
      </x:c>
      <x:c r="M139" s="112" t="str">
        <x:v>Профиль нагрузки</x:v>
      </x:c>
      <x:c r="N139" s="112" t="str">
        <x:v>BASELINE</x:v>
      </x:c>
      <x:c r="O139" s="113" t="str">
        <x:v>TASK-006,TASK-015,TASK-024</x:v>
      </x:c>
    </x:row>
    <x:row r="140" ht="56" customHeight="1">
      <x:c r="A140" s="111" t="str">
        <x:v>NFR-004</x:v>
      </x:c>
      <x:c r="B140" s="112" t="str">
        <x:v>Нефункциональные требования</x:v>
      </x:c>
      <x:c r="C140" s="112" t="str">
        <x:v>Доступность</x:v>
      </x:c>
      <x:c r="D140" s="112" t="str">
        <x:v>Определить SLA сервиса, API, обмена и рабочих мест; деградация внешнего сервиса не должна повреждать 1С.</x:v>
      </x:c>
      <x:c r="E140" s="112" t="str">
        <x:v>Надёжность</x:v>
      </x:c>
      <x:c r="F140" s="112" t="str">
        <x:v>SRC-11,SRC-12</x:v>
      </x:c>
      <x:c r="G140" s="112" t="str">
        <x:v>Baseline</x:v>
      </x:c>
      <x:c r="H140" s="146" t="str">
        <x:v>P1</x:v>
      </x:c>
      <x:c r="I140" s="112" t="str">
        <x:v>P3-P7</x:v>
      </x:c>
      <x:c r="J140" s="112" t="str">
        <x:v>Эксплуатация</x:v>
      </x:c>
      <x:c r="K140" s="112" t="str">
        <x:v>ИТ</x:v>
      </x:c>
      <x:c r="L140" s="112" t="str">
        <x:v>SLA/SLO утверждены; health/readiness и алерты проверены.</x:v>
      </x:c>
      <x:c r="M140" s="112" t="str">
        <x:v>Инфраструктура</x:v>
      </x:c>
      <x:c r="N140" s="112" t="str">
        <x:v>BASELINE</x:v>
      </x:c>
      <x:c r="O140" s="113" t="str">
        <x:v>TASK-024</x:v>
      </x:c>
    </x:row>
    <x:row r="141" ht="56" customHeight="1">
      <x:c r="A141" s="111" t="str">
        <x:v>NFR-005</x:v>
      </x:c>
      <x:c r="B141" s="112" t="str">
        <x:v>Нефункциональные требования</x:v>
      </x:c>
      <x:c r="C141" s="112" t="str">
        <x:v>Наблюдаемость</x:v>
      </x:c>
      <x:c r="D141" s="112" t="str">
        <x:v>Использовать correlation ID, структурированные логи, метрики, dashboards и alerts без утечки коммерческих данных.</x:v>
      </x:c>
      <x:c r="E141" s="112" t="str">
        <x:v>Нефункциональное</x:v>
      </x:c>
      <x:c r="F141" s="112" t="str">
        <x:v>SRC-11,SRC-14</x:v>
      </x:c>
      <x:c r="G141" s="112" t="str">
        <x:v>Baseline; фундамент реализован</x:v>
      </x:c>
      <x:c r="H141" s="146" t="str">
        <x:v>P0</x:v>
      </x:c>
      <x:c r="I141" s="112" t="str">
        <x:v>P3-P7</x:v>
      </x:c>
      <x:c r="J141" s="112" t="str">
        <x:v>Сервис + 1С</x:v>
      </x:c>
      <x:c r="K141" s="112" t="str">
        <x:v>ИТ</x:v>
      </x:c>
      <x:c r="L141" s="112" t="str">
        <x:v>По package/import/receipt ID восстанавливается путь; секреты/прайсы не попадают в логи.</x:v>
      </x:c>
      <x:c r="M141" s="112" t="str">
        <x:v>Monitoring stack</x:v>
      </x:c>
      <x:c r="N141" s="112" t="str">
        <x:v>ЧАСТИЧНО РЕАЛИЗОВАНО</x:v>
      </x:c>
      <x:c r="O141" s="113" t="str">
        <x:v>WORK-001,WORK-003,TASK-024</x:v>
      </x:c>
    </x:row>
    <x:row r="142" ht="56" customHeight="1">
      <x:c r="A142" s="111" t="str">
        <x:v>NFR-006</x:v>
      </x:c>
      <x:c r="B142" s="112" t="str">
        <x:v>Нефункциональные требования</x:v>
      </x:c>
      <x:c r="C142" s="112" t="str">
        <x:v>RBAC</x:v>
      </x:c>
      <x:c r="D142" s="112" t="str">
        <x:v>Разделить роли оператора, КМ, магазина, reviewer, администратора, финансового пользователя и аудитора.</x:v>
      </x:c>
      <x:c r="E142" s="112" t="str">
        <x:v>Безопасность</x:v>
      </x:c>
      <x:c r="F142" s="112" t="str">
        <x:v>SRC-09,SRC-10,SRC-11</x:v>
      </x:c>
      <x:c r="G142" s="112" t="str">
        <x:v>Baseline</x:v>
      </x:c>
      <x:c r="H142" s="146" t="str">
        <x:v>P0</x:v>
      </x:c>
      <x:c r="I142" s="112" t="str">
        <x:v>P3-P7</x:v>
      </x:c>
      <x:c r="J142" s="112" t="str">
        <x:v>Сервис + 1С + BI</x:v>
      </x:c>
      <x:c r="K142" s="112" t="str">
        <x:v>Data owners</x:v>
      </x:c>
      <x:c r="L142" s="112" t="str">
        <x:v>Запрещённые действия отклоняются на backend; матрица ролей покрыта UAT.</x:v>
      </x:c>
      <x:c r="M142" s="112" t="str">
        <x:v>IAM/auth decision</x:v>
      </x:c>
      <x:c r="N142" s="112" t="str">
        <x:v>BASELINE</x:v>
      </x:c>
      <x:c r="O142" s="113" t="str">
        <x:v>TASK-017,TASK-024</x:v>
      </x:c>
    </x:row>
    <x:row r="143" ht="56" customHeight="1">
      <x:c r="A143" s="111" t="str">
        <x:v>NFR-007</x:v>
      </x:c>
      <x:c r="B143" s="112" t="str">
        <x:v>Нефункциональные требования</x:v>
      </x:c>
      <x:c r="C143" s="112" t="str">
        <x:v>Аутентификация сервисов</x:v>
      </x:c>
      <x:c r="D143" s="112" t="str">
        <x:v>Выбрать защищённую аутентификацию между сервисом и 1С, rotation secrets, TLS и rate limits.</x:v>
      </x:c>
      <x:c r="E143" s="112" t="str">
        <x:v>Безопасность</x:v>
      </x:c>
      <x:c r="F143" s="112" t="str">
        <x:v>SRC-11,SRC-16</x:v>
      </x:c>
      <x:c r="G143" s="112" t="str">
        <x:v>Решение открыто</x:v>
      </x:c>
      <x:c r="H143" s="146" t="str">
        <x:v>P0</x:v>
      </x:c>
      <x:c r="I143" s="112" t="str">
        <x:v>P3-P4</x:v>
      </x:c>
      <x:c r="J143" s="112" t="str">
        <x:v>API / 1С</x:v>
      </x:c>
      <x:c r="K143" s="112" t="str">
        <x:v>Security / владелец 1С</x:v>
      </x:c>
      <x:c r="L143" s="112" t="str">
        <x:v>Threat model и auth protocol утверждены; секреты не хранятся в Git.</x:v>
      </x:c>
      <x:c r="M143" s="112" t="str">
        <x:v>D-09</x:v>
      </x:c>
      <x:c r="N143" s="112" t="str">
        <x:v>ОТКРЫТОЕ РЕШЕНИЕ</x:v>
      </x:c>
      <x:c r="O143" s="113" t="str">
        <x:v>D-09,TASK-018</x:v>
      </x:c>
    </x:row>
    <x:row r="144" ht="56" customHeight="1">
      <x:c r="A144" s="111" t="str">
        <x:v>NFR-008</x:v>
      </x:c>
      <x:c r="B144" s="112" t="str">
        <x:v>Нефункциональные требования</x:v>
      </x:c>
      <x:c r="C144" s="112" t="str">
        <x:v>Backup/restore</x:v>
      </x:c>
      <x:c r="D144" s="112" t="str">
        <x:v>Настроить backup PostgreSQL, object storage, расширения 1С и конфигураций; регулярно демонстрировать restore.</x:v>
      </x:c>
      <x:c r="E144" s="112" t="str">
        <x:v>Надёжность</x:v>
      </x:c>
      <x:c r="F144" s="112" t="str">
        <x:v>SRC-11,SRC-17</x:v>
      </x:c>
      <x:c r="G144" s="112" t="str">
        <x:v>Baseline</x:v>
      </x:c>
      <x:c r="H144" s="146" t="str">
        <x:v>P0</x:v>
      </x:c>
      <x:c r="I144" s="112" t="str">
        <x:v>P3-P7</x:v>
      </x:c>
      <x:c r="J144" s="112" t="str">
        <x:v>Эксплуатация</x:v>
      </x:c>
      <x:c r="K144" s="112" t="str">
        <x:v>ИТ</x:v>
      </x:c>
      <x:c r="L144" s="112" t="str">
        <x:v>RPO/RTO утверждены; тест восстановления проходит до production release.</x:v>
      </x:c>
      <x:c r="M144" s="112" t="str">
        <x:v>Инфраструктура и хранение</x:v>
      </x:c>
      <x:c r="N144" s="112" t="str">
        <x:v>BASELINE</x:v>
      </x:c>
      <x:c r="O144" s="113" t="str">
        <x:v>TASK-024,TASK-025</x:v>
      </x:c>
    </x:row>
    <x:row r="145" ht="56" customHeight="1">
      <x:c r="A145" s="111" t="str">
        <x:v>NFR-009</x:v>
      </x:c>
      <x:c r="B145" s="112" t="str">
        <x:v>Нефункциональные требования</x:v>
      </x:c>
      <x:c r="C145" s="112" t="str">
        <x:v>Защита данных</x:v>
      </x:c>
      <x:c r="D145" s="112" t="str">
        <x:v>Классифицировать коммерческие, персональные и финансовые данные, определить сроки хранения, маскирование тестовых данных и доступы.</x:v>
      </x:c>
      <x:c r="E145" s="112" t="str">
        <x:v>Безопасность</x:v>
      </x:c>
      <x:c r="F145" s="112" t="str">
        <x:v>SRC-09,SRC-10,SRC-16</x:v>
      </x:c>
      <x:c r="G145" s="112" t="str">
        <x:v>Решение открыто</x:v>
      </x:c>
      <x:c r="H145" s="146" t="str">
        <x:v>P0</x:v>
      </x:c>
      <x:c r="I145" s="112" t="str">
        <x:v>P0-P3</x:v>
      </x:c>
      <x:c r="J145" s="112" t="str">
        <x:v>Governance</x:v>
      </x:c>
      <x:c r="K145" s="112" t="str">
        <x:v>Юрист + data owners</x:v>
      </x:c>
      <x:c r="L145" s="112" t="str">
        <x:v>Утверждена data policy; реальные прайсы/УПД не коммитятся в общий Git.</x:v>
      </x:c>
      <x:c r="M145" s="112" t="str">
        <x:v>D-08/D-RCV-10</x:v>
      </x:c>
      <x:c r="N145" s="112" t="str">
        <x:v>ОТКРЫТОЕ РЕШЕНИЕ</x:v>
      </x:c>
      <x:c r="O145" s="113" t="str">
        <x:v>TASK-024</x:v>
      </x:c>
    </x:row>
    <x:row r="146" ht="56" customHeight="1">
      <x:c r="A146" s="111" t="str">
        <x:v>NFR-010</x:v>
      </x:c>
      <x:c r="B146" s="112" t="str">
        <x:v>Нефункциональные требования</x:v>
      </x:c>
      <x:c r="C146" s="112" t="str">
        <x:v>Совместимость</x:v>
      </x:c>
      <x:c r="D146" s="112" t="str">
        <x:v>Фиксировать релиз 1С:УТ, платформы, расширений, API/schema versions и матрицу совместимости.</x:v>
      </x:c>
      <x:c r="E146" s="112" t="str">
        <x:v>Нефункциональное</x:v>
      </x:c>
      <x:c r="F146" s="112" t="str">
        <x:v>SRC-09,SRC-11,SRC-16</x:v>
      </x:c>
      <x:c r="G146" s="112" t="str">
        <x:v>Baseline; релиз 1С не подтверждён</x:v>
      </x:c>
      <x:c r="H146" s="146" t="str">
        <x:v>P0</x:v>
      </x:c>
      <x:c r="I146" s="112" t="str">
        <x:v>P0-P7</x:v>
      </x:c>
      <x:c r="J146" s="112" t="str">
        <x:v>1С / сервис</x:v>
      </x:c>
      <x:c r="K146" s="112" t="str">
        <x:v>Владелец 1С</x:v>
      </x:c>
      <x:c r="L146" s="112" t="str">
        <x:v>Compatibility matrix приложена к релизу; unsupported combination блокирует deploy.</x:v>
      </x:c>
      <x:c r="M146" s="112" t="str">
        <x:v>D-01</x:v>
      </x:c>
      <x:c r="N146" s="112" t="str">
        <x:v>ОТКРЫТОЕ РЕШЕНИЕ</x:v>
      </x:c>
      <x:c r="O146" s="113" t="str">
        <x:v>D-01,TASK-025</x:v>
      </x:c>
    </x:row>
    <x:row r="147" ht="56" customHeight="1">
      <x:c r="A147" s="111" t="str">
        <x:v>NFR-011</x:v>
      </x:c>
      <x:c r="B147" s="112" t="str">
        <x:v>Нефункциональные требования</x:v>
      </x:c>
      <x:c r="C147" s="112" t="str">
        <x:v>Тестовая база</x:v>
      </x:c>
      <x:c r="D147" s="112" t="str">
        <x:v>Создать актуальную обезличенную тестовую копию с контрольными магазинами, поставщиками, SKU, документами и правами.</x:v>
      </x:c>
      <x:c r="E147" s="112" t="str">
        <x:v>Тестирование</x:v>
      </x:c>
      <x:c r="F147" s="112" t="str">
        <x:v>SRC-09,SRC-16</x:v>
      </x:c>
      <x:c r="G147" s="112" t="str">
        <x:v>Решение открыто</x:v>
      </x:c>
      <x:c r="H147" s="146" t="str">
        <x:v>P0</x:v>
      </x:c>
      <x:c r="I147" s="112" t="str">
        <x:v>P0-P3</x:v>
      </x:c>
      <x:c r="J147" s="112" t="str">
        <x:v>1С TEST</x:v>
      </x:c>
      <x:c r="K147" s="112" t="str">
        <x:v>Владелец 1С</x:v>
      </x:c>
      <x:c r="L147" s="112" t="str">
        <x:v>Копия обновлена по регламенту; контрольные кейсы воспроизводятся без production-доступа.</x:v>
      </x:c>
      <x:c r="M147" s="112" t="str">
        <x:v>D-10</x:v>
      </x:c>
      <x:c r="N147" s="112" t="str">
        <x:v>ОТКРЫТОЕ РЕШЕНИЕ</x:v>
      </x:c>
      <x:c r="O147" s="113" t="str">
        <x:v>D-10,TASK-023</x:v>
      </x:c>
    </x:row>
    <x:row r="148" ht="56" customHeight="1">
      <x:c r="A148" s="111" t="str">
        <x:v>NFR-012</x:v>
      </x:c>
      <x:c r="B148" s="112" t="str">
        <x:v>Нефункциональные требования</x:v>
      </x:c>
      <x:c r="C148" s="112" t="str">
        <x:v>Документация и обучение</x:v>
      </x:c>
      <x:c r="D148" s="112" t="str">
        <x:v>Передать инструкции оператора, КМ, магазина, reviewer, администратора, runbooks и known limitations.</x:v>
      </x:c>
      <x:c r="E148" s="112" t="str">
        <x:v>Эксплуатационное</x:v>
      </x:c>
      <x:c r="F148" s="112" t="str">
        <x:v>SRC-15,SRC-17</x:v>
      </x:c>
      <x:c r="G148" s="112" t="str">
        <x:v>Baseline</x:v>
      </x:c>
      <x:c r="H148" s="146" t="str">
        <x:v>P1</x:v>
      </x:c>
      <x:c r="I148" s="112" t="str">
        <x:v>P7</x:v>
      </x:c>
      <x:c r="J148" s="112" t="str">
        <x:v>Документация</x:v>
      </x:c>
      <x:c r="K148" s="112" t="str">
        <x:v>Руководитель проекта</x:v>
      </x:c>
      <x:c r="L148" s="112" t="str">
        <x:v>Пользователи прошли обучение и тест; handover подписан.</x:v>
      </x:c>
      <x:c r="M148" s="112" t="str">
        <x:v>Стабильный релиз</x:v>
      </x:c>
      <x:c r="N148" s="112" t="str">
        <x:v>BASELINE</x:v>
      </x:c>
      <x:c r="O148" s="113" t="str">
        <x:v>TASK-025</x:v>
      </x:c>
    </x:row>
    <x:row r="149" ht="56" customHeight="1">
      <x:c r="A149" s="114" t="str">
        <x:v>NFR-013</x:v>
      </x:c>
      <x:c r="B149" s="115" t="str">
        <x:v>Нефункциональные требования</x:v>
      </x:c>
      <x:c r="C149" s="115" t="str">
        <x:v>Лицензии и зависимости</x:v>
      </x:c>
      <x:c r="D149" s="115" t="str">
        <x:v>Использовать поддерживаемые версии и допустимые лицензии; dependency/security scan входит в CI.</x:v>
      </x:c>
      <x:c r="E149" s="115" t="str">
        <x:v>Безопасность</x:v>
      </x:c>
      <x:c r="F149" s="115" t="str">
        <x:v>SRC-11,SRC-18</x:v>
      </x:c>
      <x:c r="G149" s="115" t="str">
        <x:v>Фундамент реализован</x:v>
      </x:c>
      <x:c r="H149" s="148" t="str">
        <x:v>P1</x:v>
      </x:c>
      <x:c r="I149" s="115" t="str">
        <x:v>P3-P7</x:v>
      </x:c>
      <x:c r="J149" s="115" t="str">
        <x:v>DevOps</x:v>
      </x:c>
      <x:c r="K149" s="115" t="str">
        <x:v>Технический лидер</x:v>
      </x:c>
      <x:c r="L149" s="115" t="str">
        <x:v>Critical vulnerabilities отсутствуют или имеют approved exception; версии закреплены.</x:v>
      </x:c>
      <x:c r="M149" s="115" t="str">
        <x:v>CI billing</x:v>
      </x:c>
      <x:c r="N149" s="115" t="str">
        <x:v>ЧАСТИЧНО РЕАЛИЗОВАНО</x:v>
      </x:c>
      <x:c r="O149" s="116" t="str">
        <x:v>WORK-001…009,TASK-024</x:v>
      </x:c>
    </x:row>
    <x:row r="150">
      <x:c r="A150" t="str">
        <x:v>ARC-001</x:v>
      </x:c>
      <x:c r="B150" t="str">
        <x:v>Интеграции и обмены</x:v>
      </x:c>
      <x:c r="C150" t="str">
        <x:v>Архитектурный baseline</x:v>
      </x:c>
      <x:c r="D150" t="str">
        <x:v>Использовать одну центральную 1С:УТ 11 как ядро управления НСИ, закупками, себестоимостью и обеспечением всей группы.</x:v>
      </x:c>
      <x:c r="E150" t="str">
        <x:v>Архитектурное</x:v>
      </x:c>
      <x:c r="F150" t="str">
        <x:v>SRC-19</x:v>
      </x:c>
      <x:c r="G150" t="str">
        <x:v>Прямо указано на слайде 3</x:v>
      </x:c>
      <x:c r="H150" t="str">
        <x:v>P0</x:v>
      </x:c>
      <x:c r="I150" t="str">
        <x:v>P0-P3</x:v>
      </x:c>
      <x:c r="J150" t="str">
        <x:v>1С:УТ 11</x:v>
      </x:c>
      <x:c r="K150" t="str">
        <x:v>Архитектурный комитет / владелец 1С</x:v>
      </x:c>
      <x:c r="L150" t="str">
        <x:v>Целевая схема и migration map утверждены; нет параллельной второй master-УТ без отдельного решения.</x:v>
      </x:c>
      <x:c r="M150" t="str">
        <x:v>D-31,D-32</x:v>
      </x:c>
      <x:c r="N150" t="str">
        <x:v>BASELINE</x:v>
      </x:c>
      <x:c r="O150" t="str">
        <x:v>D-31,D-32</x:v>
      </x:c>
    </x:row>
    <x:row r="151">
      <x:c r="A151" t="str">
        <x:v>ARC-002</x:v>
      </x:c>
      <x:c r="B151" t="str">
        <x:v>Интеграции и обмены</x:v>
      </x:c>
      <x:c r="C151" t="str">
        <x:v>Контур бухгалтерии</x:v>
      </x:c>
      <x:c r="D151" t="str">
        <x:v>Сохранить выгрузку данных из центральной УТ в отдельные базы БП «СНЭКС» и «СНЭКС СИБИРЬ» с формализованной сверкой.</x:v>
      </x:c>
      <x:c r="E151" t="str">
        <x:v>Функциональное</x:v>
      </x:c>
      <x:c r="F151" t="str">
        <x:v>SRC-19</x:v>
      </x:c>
      <x:c r="G151" t="str">
        <x:v>Прямо указано на слайде 3</x:v>
      </x:c>
      <x:c r="H151" t="str">
        <x:v>P0</x:v>
      </x:c>
      <x:c r="I151" t="str">
        <x:v>P1-P3</x:v>
      </x:c>
      <x:c r="J151" t="str">
        <x:v>УТ → БП</x:v>
      </x:c>
      <x:c r="K151" t="str">
        <x:v>Финансы / главный бухгалтер / ИТ</x:v>
      </x:c>
      <x:c r="L151" t="str">
        <x:v>Для каждого обмена определены состав, периодичность, контрольные суммы, ошибки и ответственный.</x:v>
      </x:c>
      <x:c r="M151" t="str">
        <x:v>D-35</x:v>
      </x:c>
      <x:c r="N151" t="str">
        <x:v>BASELINE</x:v>
      </x:c>
      <x:c r="O151" t="str">
        <x:v>P1-exchange</x:v>
      </x:c>
    </x:row>
    <x:row r="152">
      <x:c r="A152" t="str">
        <x:v>ARC-003</x:v>
      </x:c>
      <x:c r="B152" t="str">
        <x:v>Розница и магазины</x:v>
      </x:c>
      <x:c r="C152" t="str">
        <x:v>Топология 1С:Розницы</x:v>
      </x:c>
      <x:c r="D152" t="str">
        <x:v>Развернуть центральную 1С:Розницу и иерархию региональных/франчайзинговых узлов по утверждённой карте магазинов.</x:v>
      </x:c>
      <x:c r="E152" t="str">
        <x:v>Архитектурное</x:v>
      </x:c>
      <x:c r="F152" t="str">
        <x:v>SRC-19</x:v>
      </x:c>
      <x:c r="G152" t="str">
        <x:v>Прямо указано на слайде 3</x:v>
      </x:c>
      <x:c r="H152" t="str">
        <x:v>P0</x:v>
      </x:c>
      <x:c r="I152" t="str">
        <x:v>P0-P7</x:v>
      </x:c>
      <x:c r="J152" t="str">
        <x:v>1С:Розница</x:v>
      </x:c>
      <x:c r="K152" t="str">
        <x:v>Розница / владелец 1С</x:v>
      </x:c>
      <x:c r="L152" t="str">
        <x:v>Все магазины привязаны к узлу; маршруты обмена и SLA задокументированы; нет неучтённых баз.</x:v>
      </x:c>
      <x:c r="M152" t="str">
        <x:v>D-33</x:v>
      </x:c>
      <x:c r="N152" t="str">
        <x:v>BASELINE</x:v>
      </x:c>
      <x:c r="O152" t="str">
        <x:v>D-33</x:v>
      </x:c>
    </x:row>
    <x:row r="153">
      <x:c r="A153" t="str">
        <x:v>ARC-004</x:v>
      </x:c>
      <x:c r="B153" t="str">
        <x:v>Розница и магазины</x:v>
      </x:c>
      <x:c r="C153" t="str">
        <x:v>Автономность магазина</x:v>
      </x:c>
      <x:c r="D153" t="str">
        <x:v>Обеспечить автономную работу магазина в локальной базе 1С:Розницы при временной недоступности центральных систем.</x:v>
      </x:c>
      <x:c r="E153" t="str">
        <x:v>Нефункциональное</x:v>
      </x:c>
      <x:c r="F153" t="str">
        <x:v>SRC-19</x:v>
      </x:c>
      <x:c r="G153" t="str">
        <x:v>Сравнение архитектур, слайд 4</x:v>
      </x:c>
      <x:c r="H153" t="str">
        <x:v>P0</x:v>
      </x:c>
      <x:c r="I153" t="str">
        <x:v>P3-P7</x:v>
      </x:c>
      <x:c r="J153" t="str">
        <x:v>Узел 1С:Розницы</x:v>
      </x:c>
      <x:c r="K153" t="str">
        <x:v>Розница / ИТ</x:v>
      </x:c>
      <x:c r="L153" t="str">
        <x:v>Контрольный магазин проводит продажи в режиме разрыва связи и корректно досинхронизируется после восстановления.</x:v>
      </x:c>
      <x:c r="M153" t="str">
        <x:v>D-33,D-35</x:v>
      </x:c>
      <x:c r="N153" t="str">
        <x:v>BASELINE</x:v>
      </x:c>
      <x:c r="O153" t="str">
        <x:v>UAT-Retail-offline</x:v>
      </x:c>
    </x:row>
    <x:row r="154">
      <x:c r="A154" t="str">
        <x:v>ARC-005</x:v>
      </x:c>
      <x:c r="B154" t="str">
        <x:v>НСИ и качество данных</x:v>
      </x:c>
      <x:c r="C154" t="str">
        <x:v>Единая номенклатура</x:v>
      </x:c>
      <x:c r="D154" t="str">
        <x:v>Перейти на единую номенклатуру и правила НСИ после консолидации в центральной УТ.</x:v>
      </x:c>
      <x:c r="E154" t="str">
        <x:v>Функциональное</x:v>
      </x:c>
      <x:c r="F154" t="str">
        <x:v>SRC-19,SRC-02,SRC-08</x:v>
      </x:c>
      <x:c r="G154" t="str">
        <x:v>Прямо указано на слайде 4 и подтверждено интервью</x:v>
      </x:c>
      <x:c r="H154" t="str">
        <x:v>P0</x:v>
      </x:c>
      <x:c r="I154" t="str">
        <x:v>P2-P4</x:v>
      </x:c>
      <x:c r="J154" t="str">
        <x:v>1С:УТ / 1С:Розница</x:v>
      </x:c>
      <x:c r="K154" t="str">
        <x:v>Владелец НСИ / КМ</x:v>
      </x:c>
      <x:c r="L154" t="str">
        <x:v>Один SKU имеет единый master-ID и контролируемые представления во всех узлах; дубли отсутствуют или имеют план обработки.</x:v>
      </x:c>
      <x:c r="M154" t="str">
        <x:v>D-07,D-32</x:v>
      </x:c>
      <x:c r="N154" t="str">
        <x:v>BASELINE</x:v>
      </x:c>
      <x:c r="O154" t="str">
        <x:v>P2-NSI</x:v>
      </x:c>
    </x:row>
    <x:row r="155">
      <x:c r="A155" t="str">
        <x:v>ARC-006</x:v>
      </x:c>
      <x:c r="B155" t="str">
        <x:v>Цены и маржинальность</x:v>
      </x:c>
      <x:c r="C155" t="str">
        <x:v>Цены, скидки, MAXMA</x:v>
      </x:c>
      <x:c r="D155" t="str">
        <x:v>Централизованно управлять ценами и скидками; правила интеграции с MAXMA и приоритеты скидок должны быть утверждены.</x:v>
      </x:c>
      <x:c r="E155" t="str">
        <x:v>Функциональное</x:v>
      </x:c>
      <x:c r="F155" t="str">
        <x:v>SRC-19</x:v>
      </x:c>
      <x:c r="G155" t="str">
        <x:v>Прямо указано на слайде 4</x:v>
      </x:c>
      <x:c r="H155" t="str">
        <x:v>P0</x:v>
      </x:c>
      <x:c r="I155" t="str">
        <x:v>P2-P6</x:v>
      </x:c>
      <x:c r="J155" t="str">
        <x:v>1С:УТ / 1С:Розница / MAXMA</x:v>
      </x:c>
      <x:c r="K155" t="str">
        <x:v>Коммерция / ИТ</x:v>
      </x:c>
      <x:c r="L155" t="str">
        <x:v>Цена и скидка воспроизводятся по магазину/периоду; конфликт правил выявляется до продажи; история и rollback доступны.</x:v>
      </x:c>
      <x:c r="M155" t="str">
        <x:v>D-36</x:v>
      </x:c>
      <x:c r="N155" t="str">
        <x:v>BASELINE</x:v>
      </x:c>
      <x:c r="O155" t="str">
        <x:v>D-36</x:v>
      </x:c>
    </x:row>
    <x:row r="156">
      <x:c r="A156" t="str">
        <x:v>ARC-007</x:v>
      </x:c>
      <x:c r="B156" t="str">
        <x:v>Управление проектом</x:v>
      </x:c>
      <x:c r="C156" t="str">
        <x:v>Пользователи и права</x:v>
      </x:c>
      <x:c r="D156" t="str">
        <x:v>Централизованно управлять пользователями и правами с ограничениями по организациям и магазинам.</x:v>
      </x:c>
      <x:c r="E156" t="str">
        <x:v>Безопасность</x:v>
      </x:c>
      <x:c r="F156" t="str">
        <x:v>SRC-19</x:v>
      </x:c>
      <x:c r="G156" t="str">
        <x:v>Прямо указано на слайде 5</x:v>
      </x:c>
      <x:c r="H156" t="str">
        <x:v>P0</x:v>
      </x:c>
      <x:c r="I156" t="str">
        <x:v>P2-P7</x:v>
      </x:c>
      <x:c r="J156" t="str">
        <x:v>1С:УТ / 1С:Розница / IAM</x:v>
      </x:c>
      <x:c r="K156" t="str">
        <x:v>ИТ / data owners</x:v>
      </x:c>
      <x:c r="L156" t="str">
        <x:v>Матрица ролей утверждена; запрещённый доступ блокируется; изменения прав аудитируются.</x:v>
      </x:c>
      <x:c r="M156" t="str">
        <x:v>D-33</x:v>
      </x:c>
      <x:c r="N156" t="str">
        <x:v>BASELINE</x:v>
      </x:c>
      <x:c r="O156" t="str">
        <x:v>RBAC-1C</x:v>
      </x:c>
    </x:row>
    <x:row r="157">
      <x:c r="A157" t="str">
        <x:v>ARC-008</x:v>
      </x:c>
      <x:c r="B157" t="str">
        <x:v>Продажи и коммерческая аналитика</x:v>
      </x:c>
      <x:c r="C157" t="str">
        <x:v>Сводная отчётность</x:v>
      </x:c>
      <x:c r="D157" t="str">
        <x:v>Обеспечить сводную отчётность по группе, регионам и франчайзерам на единых определениях.</x:v>
      </x:c>
      <x:c r="E157" t="str">
        <x:v>Функциональное</x:v>
      </x:c>
      <x:c r="F157" t="str">
        <x:v>SRC-19</x:v>
      </x:c>
      <x:c r="G157" t="str">
        <x:v>Прямо указано на слайде 5</x:v>
      </x:c>
      <x:c r="H157" t="str">
        <x:v>P1</x:v>
      </x:c>
      <x:c r="I157" t="str">
        <x:v>P6-P7</x:v>
      </x:c>
      <x:c r="J157" t="str">
        <x:v>1С / DWH / BI</x:v>
      </x:c>
      <x:c r="K157" t="str">
        <x:v>Коммерция / финансы / BI</x:v>
      </x:c>
      <x:c r="L157" t="str">
        <x:v>Показатели сходятся с документами и раскрываются по региону, франчайзеру и магазину.</x:v>
      </x:c>
      <x:c r="M157" t="str">
        <x:v>D-23,D-25</x:v>
      </x:c>
      <x:c r="N157" t="str">
        <x:v>BASELINE</x:v>
      </x:c>
      <x:c r="O157" t="str">
        <x:v>P6-BI</x:v>
      </x:c>
    </x:row>
    <x:row r="158">
      <x:c r="A158" t="str">
        <x:v>ARC-009</x:v>
      </x:c>
      <x:c r="B158" t="str">
        <x:v>Остатки, склад и движение</x:v>
      </x:c>
      <x:c r="C158" t="str">
        <x:v>Управление запасами франшизы</x:v>
      </x:c>
      <x:c r="D158" t="str">
        <x:v>Рассчитывать и анализировать запасы с учётом продаж и остатков всех магазинов франшизы.</x:v>
      </x:c>
      <x:c r="E158" t="str">
        <x:v>Функциональное</x:v>
      </x:c>
      <x:c r="F158" t="str">
        <x:v>SRC-19</x:v>
      </x:c>
      <x:c r="G158" t="str">
        <x:v>Прямо указано на слайде 5</x:v>
      </x:c>
      <x:c r="H158" t="str">
        <x:v>P0</x:v>
      </x:c>
      <x:c r="I158" t="str">
        <x:v>P2-P6</x:v>
      </x:c>
      <x:c r="J158" t="str">
        <x:v>1С:УТ / 1С:Розница</x:v>
      </x:c>
      <x:c r="K158" t="str">
        <x:v>КМ / логистика</x:v>
      </x:c>
      <x:c r="L158" t="str">
        <x:v>Для контрольных SKU доступны продажи, остатки, резервы, товар в пути и рекомендация по сети без двойного счёта.</x:v>
      </x:c>
      <x:c r="M158" t="str">
        <x:v>D-20,D-32</x:v>
      </x:c>
      <x:c r="N158" t="str">
        <x:v>BASELINE</x:v>
      </x:c>
      <x:c r="O158" t="str">
        <x:v>P4-order</x:v>
      </x:c>
    </x:row>
    <x:row r="159">
      <x:c r="A159" t="str">
        <x:v>ARC-010</x:v>
      </x:c>
      <x:c r="B159" t="str">
        <x:v>Интеграции и обмены</x:v>
      </x:c>
      <x:c r="C159" t="str">
        <x:v>Мониторинг обменов</x:v>
      </x:c>
      <x:c r="D159" t="str">
        <x:v>Ввести мониторинг цепочки БП–УТ–Розница–КСО: очередь, задержки, ошибки, повтор, контрольные суммы и ответственные.</x:v>
      </x:c>
      <x:c r="E159" t="str">
        <x:v>Нефункциональное</x:v>
      </x:c>
      <x:c r="F159" t="str">
        <x:v>SRC-19,SRC-05,SRC-06</x:v>
      </x:c>
      <x:c r="G159" t="str">
        <x:v>Слайд 5 и экранные ошибки обменов</x:v>
      </x:c>
      <x:c r="H159" t="str">
        <x:v>P0</x:v>
      </x:c>
      <x:c r="I159" t="str">
        <x:v>P1-P7</x:v>
      </x:c>
      <x:c r="J159" t="str">
        <x:v>Integration monitoring</x:v>
      </x:c>
      <x:c r="K159" t="str">
        <x:v>ИТ</x:v>
      </x:c>
      <x:c r="L159" t="str">
        <x:v>Каждый обмен имеет SLA и dashboard; ошибка создаёт исключение, а не молчаливый пропуск документа.</x:v>
      </x:c>
      <x:c r="M159" t="str">
        <x:v>D-35</x:v>
      </x:c>
      <x:c r="N159" t="str">
        <x:v>BASELINE</x:v>
      </x:c>
      <x:c r="O159" t="str">
        <x:v>P1-exchange,TASK-024</x:v>
      </x:c>
    </x:row>
    <x:row r="160">
      <x:c r="A160" t="str">
        <x:v>CFG-001</x:v>
      </x:c>
      <x:c r="B160" t="str">
        <x:v>Управление проектом</x:v>
      </x:c>
      <x:c r="C160" t="str">
        <x:v>Портфель расширений 1С</x:v>
      </x:c>
      <x:c r="D160" t="str">
        <x:v>Сформировать паспорт каждого из 14 расширений: владелец, назначение, код, лицензия, данные, объекты, зависимости, фактическое использование и совместимость.</x:v>
      </x:c>
      <x:c r="E160" t="str">
        <x:v>Архитектурное</x:v>
      </x:c>
      <x:c r="F160" t="str">
        <x:v>SRC-20</x:v>
      </x:c>
      <x:c r="G160" t="str">
        <x:v>Первичный реестр расширений</x:v>
      </x:c>
      <x:c r="H160" t="str">
        <x:v>P0</x:v>
      </x:c>
      <x:c r="I160" t="str">
        <x:v>P0</x:v>
      </x:c>
      <x:c r="J160" t="str">
        <x:v>1С governance</x:v>
      </x:c>
      <x:c r="K160" t="str">
        <x:v>Владелец 1С / архитектурный комитет</x:v>
      </x:c>
      <x:c r="L160" t="str">
        <x:v>14/14 расширений имеют заполненный паспорт и подтверждающее лицо.</x:v>
      </x:c>
      <x:c r="M160" t="str">
        <x:v>D-37,D-38,D-40</x:v>
      </x:c>
      <x:c r="N160" t="str">
        <x:v>BASELINE</x:v>
      </x:c>
      <x:c r="O160" t="str">
        <x:v>P0-extension-audit</x:v>
      </x:c>
    </x:row>
    <x:row r="161">
      <x:c r="A161" t="str">
        <x:v>CFG-002</x:v>
      </x:c>
      <x:c r="B161" t="str">
        <x:v>Управление проектом</x:v>
      </x:c>
      <x:c r="C161" t="str">
        <x:v>Стратегия расширений</x:v>
      </x:c>
      <x:c r="D161" t="str">
        <x:v>Для каждого расширения утвердить статус keep / refactor / replace / retire и целевую конфигурацию УТ или Розница.</x:v>
      </x:c>
      <x:c r="E161" t="str">
        <x:v>Архитектурное</x:v>
      </x:c>
      <x:c r="F161" t="str">
        <x:v>SRC-20</x:v>
      </x:c>
      <x:c r="G161" t="str">
        <x:v>Проектная интерпретация первичного анализа</x:v>
      </x:c>
      <x:c r="H161" t="str">
        <x:v>P0</x:v>
      </x:c>
      <x:c r="I161" t="str">
        <x:v>P0-P2</x:v>
      </x:c>
      <x:c r="J161" t="str">
        <x:v>1С governance</x:v>
      </x:c>
      <x:c r="K161" t="str">
        <x:v>Архитектурный комитет</x:v>
      </x:c>
      <x:c r="L161" t="str">
        <x:v>Подписана disposition matrix 14/14; нет расширения без owner и cutover-решения.</x:v>
      </x:c>
      <x:c r="M161" t="str">
        <x:v>D-37</x:v>
      </x:c>
      <x:c r="N161" t="str">
        <x:v>ОТКРЫТОЕ РЕШЕНИЕ</x:v>
      </x:c>
      <x:c r="O161" t="str">
        <x:v>D-37</x:v>
      </x:c>
    </x:row>
    <x:row r="162">
      <x:c r="A162" t="str">
        <x:v>CFG-003</x:v>
      </x:c>
      <x:c r="B162" t="str">
        <x:v>НСИ и качество данных</x:v>
      </x:c>
      <x:c r="C162" t="str">
        <x:v>Данные расширений</x:v>
      </x:c>
      <x:c r="D162" t="str">
        <x:v>До отключения расширений проинвентаризировать и мигрировать собственные регистры, справочники и реквизиты.</x:v>
      </x:c>
      <x:c r="E162" t="str">
        <x:v>Данные</x:v>
      </x:c>
      <x:c r="F162" t="str">
        <x:v>SRC-20</x:v>
      </x:c>
      <x:c r="G162" t="str">
        <x:v>В комментариях отмечен риск потери данных</x:v>
      </x:c>
      <x:c r="H162" t="str">
        <x:v>P0</x:v>
      </x:c>
      <x:c r="I162" t="str">
        <x:v>P0-P3</x:v>
      </x:c>
      <x:c r="J162" t="str">
        <x:v>1С data migration</x:v>
      </x:c>
      <x:c r="K162" t="str">
        <x:v>Владелец 1С / data owners</x:v>
      </x:c>
      <x:c r="L162" t="str">
        <x:v>Есть выгрузка, mapping, контрольные суммы и rollback; удаление не приводит к потере данных.</x:v>
      </x:c>
      <x:c r="M162" t="str">
        <x:v>D-39</x:v>
      </x:c>
      <x:c r="N162" t="str">
        <x:v>BASELINE</x:v>
      </x:c>
      <x:c r="O162" t="str">
        <x:v>D-39</x:v>
      </x:c>
    </x:row>
    <x:row r="163">
      <x:c r="A163" t="str">
        <x:v>CFG-004</x:v>
      </x:c>
      <x:c r="B163" t="str">
        <x:v>Нефункциональные требования</x:v>
      </x:c>
      <x:c r="C163" t="str">
        <x:v>Закрытый код</x:v>
      </x:c>
      <x:c r="D163" t="str">
        <x:v>Получить исходники, права использования и условия поддержки расширений с закрытым кодом либо утвердить замену.</x:v>
      </x:c>
      <x:c r="E163" t="str">
        <x:v>Безопасность / право</x:v>
      </x:c>
      <x:c r="F163" t="str">
        <x:v>SRC-20</x:v>
      </x:c>
      <x:c r="G163" t="str">
        <x:v>3 расширения отмечены как закрытый код</x:v>
      </x:c>
      <x:c r="H163" t="str">
        <x:v>P0</x:v>
      </x:c>
      <x:c r="I163" t="str">
        <x:v>P0</x:v>
      </x:c>
      <x:c r="J163" t="str">
        <x:v>Legal / 1С</x:v>
      </x:c>
      <x:c r="K163" t="str">
        <x:v>Юрист / ИТ</x:v>
      </x:c>
      <x:c r="L163" t="str">
        <x:v>Для каждого закрытого расширения есть исходник/лицензия/поддержка или утверждённый план замены.</x:v>
      </x:c>
      <x:c r="M163" t="str">
        <x:v>D-38</x:v>
      </x:c>
      <x:c r="N163" t="str">
        <x:v>ОТКРЫТОЕ РЕШЕНИЕ</x:v>
      </x:c>
      <x:c r="O163" t="str">
        <x:v>D-38</x:v>
      </x:c>
    </x:row>
    <x:row r="164">
      <x:c r="A164" t="str">
        <x:v>CFG-005</x:v>
      </x:c>
      <x:c r="B164" t="str">
        <x:v>Закупки и заказ</x:v>
      </x:c>
      <x:c r="C164" t="str">
        <x:v>Помощник закупок</x:v>
      </x:c>
      <x:c r="D164" t="str">
        <x:v>Не переносить «ПомощникЗакупок» как чёрный ящик: разложить функции, данные и отчёты и сопоставить с новой архитектурой заказа.</x:v>
      </x:c>
      <x:c r="E164" t="str">
        <x:v>Архитектурное</x:v>
      </x:c>
      <x:c r="F164" t="str">
        <x:v>SRC-20,SRC-09</x:v>
      </x:c>
      <x:c r="G164" t="str">
        <x:v>Исходный комментарий указывает на нестандартный код и множество объектов</x:v>
      </x:c>
      <x:c r="H164" t="str">
        <x:v>P0</x:v>
      </x:c>
      <x:c r="I164" t="str">
        <x:v>P0-P4</x:v>
      </x:c>
      <x:c r="J164" t="str">
        <x:v>1С:УТ / сервис заказа</x:v>
      </x:c>
      <x:c r="K164" t="str">
        <x:v>КМ / владелец 1С</x:v>
      </x:c>
      <x:c r="L164" t="str">
        <x:v>Функции и данные описаны; повторяющиеся функции заменены standard/target-компонентами; миграция принята UAT.</x:v>
      </x:c>
      <x:c r="M164" t="str">
        <x:v>D-37,D-38,D-39</x:v>
      </x:c>
      <x:c r="N164" t="str">
        <x:v>КРИТИЧЕСКИЙ АНАЛИЗ</x:v>
      </x:c>
      <x:c r="O164" t="str">
        <x:v>P4-order</x:v>
      </x:c>
    </x:row>
    <x:row r="165">
      <x:c r="A165" t="str">
        <x:v>CFG-006</x:v>
      </x:c>
      <x:c r="B165" t="str">
        <x:v>Интеграции и обмены</x:v>
      </x:c>
      <x:c r="C165" t="str">
        <x:v>Frontol-специфичное расширение</x:v>
      </x:c>
      <x:c r="D165" t="str">
        <x:v>Увязать судьбу «СФ_ДоработкиОбменаСОфлайнОборудованием» с планом вывода Frontol и переходом на 1С:Розницу.</x:v>
      </x:c>
      <x:c r="E165" t="str">
        <x:v>Архитектурное</x:v>
      </x:c>
      <x:c r="F165" t="str">
        <x:v>SRC-19,SRC-20</x:v>
      </x:c>
      <x:c r="G165" t="str">
        <x:v>Презентация заменяет Frontol; комментарий указывает на офлайн-оборудование</x:v>
      </x:c>
      <x:c r="H165" t="str">
        <x:v>P0</x:v>
      </x:c>
      <x:c r="I165" t="str">
        <x:v>P1-P7</x:v>
      </x:c>
      <x:c r="J165" t="str">
        <x:v>1С:УТ / 1С:Розница</x:v>
      </x:c>
      <x:c r="K165" t="str">
        <x:v>Розница / владелец 1С</x:v>
      </x:c>
      <x:c r="L165" t="str">
        <x:v>Расширение не отключается до стабильного Retail cutover; после миграции функциональность и данные закрыты актом.</x:v>
      </x:c>
      <x:c r="M165" t="str">
        <x:v>D-34,D-37</x:v>
      </x:c>
      <x:c r="N165" t="str">
        <x:v>BASELINE</x:v>
      </x:c>
      <x:c r="O165" t="str">
        <x:v>D-34</x:v>
      </x:c>
    </x:row>
    <x:row r="166">
      <x:c r="A166" t="str">
        <x:v>CFG-007</x:v>
      </x:c>
      <x:c r="B166" t="str">
        <x:v>Финансы и управленческий учёт</x:v>
      </x:c>
      <x:c r="C166" t="str">
        <x:v>Заполнение поступления БДС</x:v>
      </x:c>
      <x:c r="D166" t="str">
        <x:v>Заменить жёстко зашитые текстовые условия в расширении заполнения БДС на справочник/правила с тестами и владельцем.</x:v>
      </x:c>
      <x:c r="E166" t="str">
        <x:v>Техническое</x:v>
      </x:c>
      <x:c r="F166" t="str">
        <x:v>SRC-20</x:v>
      </x:c>
      <x:c r="G166" t="str">
        <x:v>Прямое замечание анализа</x:v>
      </x:c>
      <x:c r="H166" t="str">
        <x:v>P1</x:v>
      </x:c>
      <x:c r="I166" t="str">
        <x:v>P2-P6</x:v>
      </x:c>
      <x:c r="J166" t="str">
        <x:v>1С:УТ</x:v>
      </x:c>
      <x:c r="K166" t="str">
        <x:v>Финансы / владелец 1С</x:v>
      </x:c>
      <x:c r="L166" t="str">
        <x:v>Изменение текста назначения не ломает заполнение; правила версионируются и покрыты тестами.</x:v>
      </x:c>
      <x:c r="M166" t="str">
        <x:v>D-37</x:v>
      </x:c>
      <x:c r="N166" t="str">
        <x:v>BASELINE</x:v>
      </x:c>
      <x:c r="O166" t="str">
        <x:v>P6-finance</x:v>
      </x:c>
    </x:row>
    <x:row r="167">
      <x:c r="A167" t="str">
        <x:v>CFG-008</x:v>
      </x:c>
      <x:c r="B167" t="str">
        <x:v>Финансы и управленческий учёт</x:v>
      </x:c>
      <x:c r="C167" t="str">
        <x:v>Расширение P&amp;L</x:v>
      </x:c>
      <x:c r="D167" t="str">
        <x:v>Проверить фактическое использование и данные неактивного закрытого расширения «ХЛ_PNL» до утверждения новой методологии P&amp;L.</x:v>
      </x:c>
      <x:c r="E167" t="str">
        <x:v>Контроль</x:v>
      </x:c>
      <x:c r="F167" t="str">
        <x:v>SRC-20,SRC-05</x:v>
      </x:c>
      <x:c r="G167" t="str">
        <x:v>Расширение неактивно и закрыто; P&amp;L формируется вручную</x:v>
      </x:c>
      <x:c r="H167" t="str">
        <x:v>P0</x:v>
      </x:c>
      <x:c r="I167" t="str">
        <x:v>P0-P2</x:v>
      </x:c>
      <x:c r="J167" t="str">
        <x:v>1С / P&amp;L</x:v>
      </x:c>
      <x:c r="K167" t="str">
        <x:v>Финансовый директор / владелец 1С</x:v>
      </x:c>
      <x:c r="L167" t="str">
        <x:v>Подтверждены наличие/отсутствие данных и функций; принято решение восстановить, мигрировать или исключить.</x:v>
      </x:c>
      <x:c r="M167" t="str">
        <x:v>D-21,D-37,D-38</x:v>
      </x:c>
      <x:c r="N167" t="str">
        <x:v>ОТКРЫТОЕ РЕШЕНИЕ</x:v>
      </x:c>
      <x:c r="O167" t="str">
        <x:v>P2-fin-method</x:v>
      </x:c>
    </x:row>
    <x:row r="168">
      <x:c r="A168" t="str">
        <x:v>CFG-009</x:v>
      </x:c>
      <x:c r="B168" t="str">
        <x:v>Нефункциональные требования</x:v>
      </x:c>
      <x:c r="C168" t="str">
        <x:v>Совместимость расширений</x:v>
      </x:c>
      <x:c r="D168" t="str">
        <x:v>Протестировать 14 расширений на целевой версии платформы и конфигураций УТ/Розница; зафиксировать матрицу совместимости.</x:v>
      </x:c>
      <x:c r="E168" t="str">
        <x:v>Тестирование</x:v>
      </x:c>
      <x:c r="F168" t="str">
        <x:v>SRC-20,SRC-19</x:v>
      </x:c>
      <x:c r="G168" t="str">
        <x:v>Режимы совместимости различаются от 8.3.10 до 8.3.24</x:v>
      </x:c>
      <x:c r="H168" t="str">
        <x:v>P0</x:v>
      </x:c>
      <x:c r="I168" t="str">
        <x:v>P0-P3</x:v>
      </x:c>
      <x:c r="J168" t="str">
        <x:v>1С DEV/TEST</x:v>
      </x:c>
      <x:c r="K168" t="str">
        <x:v>Владелец 1С / QA</x:v>
      </x:c>
      <x:c r="L168" t="str">
        <x:v>Для каждого расширения есть результат install/update/regression; несовместимое блокирует cutover.</x:v>
      </x:c>
      <x:c r="M168" t="str">
        <x:v>D-40</x:v>
      </x:c>
      <x:c r="N168" t="str">
        <x:v>BASELINE</x:v>
      </x:c>
      <x:c r="O168" t="str">
        <x:v>D-40</x:v>
      </x:c>
    </x:row>
    <x:row r="169">
      <x:c r="A169" t="str">
        <x:v>CFG-010</x:v>
      </x:c>
      <x:c r="B169" t="str">
        <x:v>Релизы и эксплуатация</x:v>
      </x:c>
      <x:c r="C169" t="str">
        <x:v>Cutover расширений</x:v>
      </x:c>
      <x:c r="D169" t="str">
        <x:v>Для отключения/замены каждого расширения иметь rehearsal, backup, контрольные суммы, rollback и бизнес-UAT.</x:v>
      </x:c>
      <x:c r="E169" t="str">
        <x:v>Нефункциональное</x:v>
      </x:c>
      <x:c r="F169" t="str">
        <x:v>SRC-20,SRC-17</x:v>
      </x:c>
      <x:c r="G169" t="str">
        <x:v>Следует из риска данных и правил релизов</x:v>
      </x:c>
      <x:c r="H169" t="str">
        <x:v>P0</x:v>
      </x:c>
      <x:c r="I169" t="str">
        <x:v>P3-P7</x:v>
      </x:c>
      <x:c r="J169" t="str">
        <x:v>1С release management</x:v>
      </x:c>
      <x:c r="K169" t="str">
        <x:v>Владелец 1С / QA</x:v>
      </x:c>
      <x:c r="L169" t="str">
        <x:v>Cutover выполнен на копии; rollback проверен; бизнес-владелец подписал результат.</x:v>
      </x:c>
      <x:c r="M169" t="str">
        <x:v>D-37,D-39,D-40</x:v>
      </x:c>
      <x:c r="N169" t="str">
        <x:v>BASELINE</x:v>
      </x:c>
      <x:c r="O169" t="str">
        <x:v>P7-rollout</x:v>
      </x:c>
    </x:row>
    <x:row r="170" ht="64" customHeight="1">
      <x:c r="A170" s="950" t="str">
        <x:v>SCL-001</x:v>
      </x:c>
      <x:c r="B170" s="950" t="str">
        <x:v>Масштабирование и розница</x:v>
      </x:c>
      <x:c r="C170" s="950" t="str">
        <x:v>Стратегический контроль сети</x:v>
      </x:c>
      <x:c r="D170" s="950" t="str">
        <x:v>Дать руководителю единый управленческий экран по регионам, магазинам и франчайзи: продажи, маржа, остатки, дефицит, открытия, план/факт и статус полноты данных.</x:v>
      </x:c>
      <x:c r="E170" s="950" t="str">
        <x:v>Бизнес-требование</x:v>
      </x:c>
      <x:c r="F170" s="950" t="str">
        <x:v>SRC-01,SRC-19,SRC-21</x:v>
      </x:c>
      <x:c r="G170" s="950" t="str">
        <x:v>Подтверждено несколькими источниками; состав показателей требует утверждения</x:v>
      </x:c>
      <x:c r="H170" s="950" t="str">
        <x:v>P0</x:v>
      </x:c>
      <x:c r="I170" s="950" t="str">
        <x:v>P2-P6</x:v>
      </x:c>
      <x:c r="J170" s="950" t="str">
        <x:v>BI / витрины данных</x:v>
      </x:c>
      <x:c r="K170" s="950" t="str">
        <x:v>Собственник / соучредитель</x:v>
      </x:c>
      <x:c r="L170" s="950" t="str">
        <x:v>На одном экране видны все регионы и точки; каждый показатель раскрывается до магазина, SKU и первичного документа.</x:v>
      </x:c>
      <x:c r="M170" s="950" t="str">
        <x:v>D-25,D-42</x:v>
      </x:c>
      <x:c r="N170" s="950" t="str">
        <x:v>BASELINE</x:v>
      </x:c>
      <x:c r="O170" s="950" t="str">
        <x:v>P6-BI</x:v>
      </x:c>
    </x:row>
    <x:row r="171" ht="64" customHeight="1">
      <x:c r="A171" s="950" t="str">
        <x:v>SCL-002</x:v>
      </x:c>
      <x:c r="B171" s="950" t="str">
        <x:v>Масштабирование и розница</x:v>
      </x:c>
      <x:c r="C171" s="950" t="str">
        <x:v>Единые разрезы сети</x:v>
      </x:c>
      <x:c r="D171" s="950" t="str">
        <x:v>Утвердить единые справочники и разрезы: регион, франчайзи, юридическое лицо, магазин, склад, канал, формат точки и ответственный.</x:v>
      </x:c>
      <x:c r="E171" s="950" t="str">
        <x:v>Данные / НСИ</x:v>
      </x:c>
      <x:c r="F171" s="950" t="str">
        <x:v>SRC-19,SRC-21</x:v>
      </x:c>
      <x:c r="G171" s="950" t="str">
        <x:v>Следует из архитектуры и запроса на сопоставимые срезы</x:v>
      </x:c>
      <x:c r="H171" s="950" t="str">
        <x:v>P0</x:v>
      </x:c>
      <x:c r="I171" s="950" t="str">
        <x:v>P0-P2</x:v>
      </x:c>
      <x:c r="J171" s="950" t="str">
        <x:v>1С:УТ / 1С:Розница / MDM</x:v>
      </x:c>
      <x:c r="K171" s="950" t="str">
        <x:v>Владелец НСИ</x:v>
      </x:c>
      <x:c r="L171" s="950" t="str">
        <x:v>Один объект имеет единый код и одинаково используется в учётных системах и BI; дубли и неизвестные значения попадают в очередь ошибок.</x:v>
      </x:c>
      <x:c r="M171" s="950" t="str">
        <x:v>D-32,D-33</x:v>
      </x:c>
      <x:c r="N171" s="950" t="str">
        <x:v>BASELINE</x:v>
      </x:c>
      <x:c r="O171" s="950" t="str">
        <x:v>P1-data</x:v>
      </x:c>
    </x:row>
    <x:row r="172" ht="64" customHeight="1">
      <x:c r="A172" s="950" t="str">
        <x:v>SCL-003</x:v>
      </x:c>
      <x:c r="B172" s="950" t="str">
        <x:v>Масштабирование и розница</x:v>
      </x:c>
      <x:c r="C172" s="950" t="str">
        <x:v>Полнота региональных данных</x:v>
      </x:c>
      <x:c r="D172" s="950" t="str">
        <x:v>Показывать дату, время и статус загрузки каждого магазина и узла; неполный региональный срез нельзя выдавать за полный.</x:v>
      </x:c>
      <x:c r="E172" s="950" t="str">
        <x:v>Контроль</x:v>
      </x:c>
      <x:c r="F172" s="950" t="str">
        <x:v>SRC-02,SRC-05,SRC-19,SRC-21</x:v>
      </x:c>
      <x:c r="G172" s="950" t="str">
        <x:v>Подтверждено интервью и архитектурой</x:v>
      </x:c>
      <x:c r="H172" s="950" t="str">
        <x:v>P0</x:v>
      </x:c>
      <x:c r="I172" s="950" t="str">
        <x:v>P1-P6</x:v>
      </x:c>
      <x:c r="J172" s="950" t="str">
        <x:v>Мониторинг обменов / BI</x:v>
      </x:c>
      <x:c r="K172" s="950" t="str">
        <x:v>ИТ / data owner</x:v>
      </x:c>
      <x:c r="L172" s="950" t="str">
        <x:v>Для каждой точки видны последнее обновление, ошибки и безопасный повтор; отчёт явно помечен как неполный при пропуске узла.</x:v>
      </x:c>
      <x:c r="M172" s="950" t="str">
        <x:v>D-35,D-42</x:v>
      </x:c>
      <x:c r="N172" s="950" t="str">
        <x:v>BASELINE</x:v>
      </x:c>
      <x:c r="O172" s="950" t="str">
        <x:v>P1-exchange</x:v>
      </x:c>
    </x:row>
    <x:row r="173" ht="64" customHeight="1">
      <x:c r="A173" s="950" t="str">
        <x:v>SCL-004</x:v>
      </x:c>
      <x:c r="B173" s="950" t="str">
        <x:v>Масштабирование и розница</x:v>
      </x:c>
      <x:c r="C173" s="950" t="str">
        <x:v>Запуск новой точки</x:v>
      </x:c>
      <x:c r="D173" s="950" t="str">
        <x:v>Использовать единый чек-лист готовности нового магазина: НСИ, пользователи, права, кассы, цены, скидки, остатки, обмены, документы, BI и резервный режим.</x:v>
      </x:c>
      <x:c r="E173" s="950" t="str">
        <x:v>Организационное</x:v>
      </x:c>
      <x:c r="F173" s="950" t="str">
        <x:v>SRC-01,SRC-05,SRC-19,SRC-21</x:v>
      </x:c>
      <x:c r="G173" s="950" t="str">
        <x:v>Подтверждено потребностью масштабирования и финансовой готовности магазина</x:v>
      </x:c>
      <x:c r="H173" s="950" t="str">
        <x:v>P0</x:v>
      </x:c>
      <x:c r="I173" s="950" t="str">
        <x:v>P2-P7</x:v>
      </x:c>
      <x:c r="J173" s="950" t="str">
        <x:v>1С / Retail rollout</x:v>
      </x:c>
      <x:c r="K173" s="950" t="str">
        <x:v>Руководитель розницы / ИТ / финансы</x:v>
      </x:c>
      <x:c r="L173" s="950" t="str">
        <x:v>Первая продажа разрешается только после подписанного чек-листа и сквозного теста продажи, возврата, закрытия смены и обмена.</x:v>
      </x:c>
      <x:c r="M173" s="950" t="str">
        <x:v>D-41</x:v>
      </x:c>
      <x:c r="N173" s="950" t="str">
        <x:v>BASELINE</x:v>
      </x:c>
      <x:c r="O173" s="950" t="str">
        <x:v>P7-rollout</x:v>
      </x:c>
    </x:row>
    <x:row r="174" ht="64" customHeight="1">
      <x:c r="A174" s="950" t="str">
        <x:v>SCL-005</x:v>
      </x:c>
      <x:c r="B174" s="950" t="str">
        <x:v>Масштабирование и розница</x:v>
      </x:c>
      <x:c r="C174" s="950" t="str">
        <x:v>Стандарт подключения региона</x:v>
      </x:c>
      <x:c r="D174" s="950" t="str">
        <x:v>Создать повторяемый пакет подключения нового региона или франчайзи: шаблон базы, НСИ, роли, обмены, отчёты, обучение, SLA и критерии приёмки.</x:v>
      </x:c>
      <x:c r="E174" s="950" t="str">
        <x:v>Организационное</x:v>
      </x:c>
      <x:c r="F174" s="950" t="str">
        <x:v>SRC-19,SRC-21</x:v>
      </x:c>
      <x:c r="G174" s="950" t="str">
        <x:v>Проектное требование масштабируемости</x:v>
      </x:c>
      <x:c r="H174" s="950" t="str">
        <x:v>P1</x:v>
      </x:c>
      <x:c r="I174" s="950" t="str">
        <x:v>P3-P7</x:v>
      </x:c>
      <x:c r="J174" s="950" t="str">
        <x:v>Rollout package</x:v>
      </x:c>
      <x:c r="K174" s="950" t="str">
        <x:v>Руководитель проекта / ИТ</x:v>
      </x:c>
      <x:c r="L174" s="950" t="str">
        <x:v>Новая точка подключается по утверждённому пакету без отдельного уникального проекта; все отклонения оформлены решениями.</x:v>
      </x:c>
      <x:c r="M174" s="950" t="str">
        <x:v>D-41</x:v>
      </x:c>
      <x:c r="N174" s="950" t="str">
        <x:v>BASELINE</x:v>
      </x:c>
      <x:c r="O174" s="950" t="str">
        <x:v>P7-rollout</x:v>
      </x:c>
    </x:row>
    <x:row r="175" ht="64" customHeight="1">
      <x:c r="A175" s="950" t="str">
        <x:v>SCL-006</x:v>
      </x:c>
      <x:c r="B175" s="950" t="str">
        <x:v>Масштабирование и розница</x:v>
      </x:c>
      <x:c r="C175" s="950" t="str">
        <x:v>Роли и права в регионах</x:v>
      </x:c>
      <x:c r="D175" s="950" t="str">
        <x:v>Унифицировать роли регионального руководителя, франчайзи, директора магазина, кассира и аналитика; ограничить доступ по организациям, регионам и магазинам.</x:v>
      </x:c>
      <x:c r="E175" s="950" t="str">
        <x:v>Безопасность</x:v>
      </x:c>
      <x:c r="F175" s="950" t="str">
        <x:v>SRC-19,SRC-21</x:v>
      </x:c>
      <x:c r="G175" s="950" t="str">
        <x:v>Прямое следствие целевой архитектуры</x:v>
      </x:c>
      <x:c r="H175" s="950" t="str">
        <x:v>P1</x:v>
      </x:c>
      <x:c r="I175" s="950" t="str">
        <x:v>P2-P7</x:v>
      </x:c>
      <x:c r="J175" s="950" t="str">
        <x:v>1С:УТ / 1С:Розница / IAM</x:v>
      </x:c>
      <x:c r="K175" s="950" t="str">
        <x:v>ИТ / владельцы данных</x:v>
      </x:c>
      <x:c r="L175" s="950" t="str">
        <x:v>Права выдаются по ролевым шаблонам, временные доступы имеют срок и отзыв, все критические действия журналируются.</x:v>
      </x:c>
      <x:c r="M175" s="950" t="str">
        <x:v>D-33,D-43</x:v>
      </x:c>
      <x:c r="N175" s="950" t="str">
        <x:v>BASELINE</x:v>
      </x:c>
      <x:c r="O175" s="950" t="str">
        <x:v>P3-security</x:v>
      </x:c>
    </x:row>
    <x:row r="176" ht="64" customHeight="1">
      <x:c r="A176" s="950" t="str">
        <x:v>SCL-007</x:v>
      </x:c>
      <x:c r="B176" s="950" t="str">
        <x:v>Масштабирование и розница</x:v>
      </x:c>
      <x:c r="C176" s="950" t="str">
        <x:v>Центральные правила и локальные исключения</x:v>
      </x:c>
      <x:c r="D176" s="950" t="str">
        <x:v>Определить, какие ассортиментные, ценовые и скидочные правила задаются централизованно, а какие можно менять региону или франчайзи.</x:v>
      </x:c>
      <x:c r="E176" s="950" t="str">
        <x:v>Методологическое</x:v>
      </x:c>
      <x:c r="F176" s="950" t="str">
        <x:v>SRC-19,SRC-21</x:v>
      </x:c>
      <x:c r="G176" s="950" t="str">
        <x:v>Архитектура предусматривает централизацию; границы автономии не утверждены</x:v>
      </x:c>
      <x:c r="H176" s="950" t="str">
        <x:v>P1</x:v>
      </x:c>
      <x:c r="I176" s="950" t="str">
        <x:v>P2-P6</x:v>
      </x:c>
      <x:c r="J176" s="950" t="str">
        <x:v>Коммерческие правила / 1С / MAXMA</x:v>
      </x:c>
      <x:c r="K176" s="950" t="str">
        <x:v>Коммерческий директор / соучредитель</x:v>
      </x:c>
      <x:c r="L176" s="950" t="str">
        <x:v>Есть матрица полномочий, лимиты локальных отклонений, маршрут согласования и история изменений.</x:v>
      </x:c>
      <x:c r="M176" s="950" t="str">
        <x:v>D-36,D-43</x:v>
      </x:c>
      <x:c r="N176" s="950" t="str">
        <x:v>ОТКРЫТОЕ РЕШЕНИЕ</x:v>
      </x:c>
      <x:c r="O176" s="950" t="str">
        <x:v>P2-method</x:v>
      </x:c>
    </x:row>
    <x:row r="177" ht="64" customHeight="1">
      <x:c r="A177" s="950" t="str">
        <x:v>SCL-008</x:v>
      </x:c>
      <x:c r="B177" s="950" t="str">
        <x:v>Масштабирование и розница</x:v>
      </x:c>
      <x:c r="C177" s="950" t="str">
        <x:v>Волновое развертывание</x:v>
      </x:c>
      <x:c r="D177" s="950" t="str">
        <x:v>Переходить на целевую архитектуру волнами: контрольная точка, регион, группа франчайзи; для каждой волны иметь критерии готовности и план отката.</x:v>
      </x:c>
      <x:c r="E177" s="950" t="str">
        <x:v>Нефункциональное</x:v>
      </x:c>
      <x:c r="F177" s="950" t="str">
        <x:v>SRC-17,SRC-19,SRC-21</x:v>
      </x:c>
      <x:c r="G177" s="950" t="str">
        <x:v>Следует из риска большого количества узлов</x:v>
      </x:c>
      <x:c r="H177" s="950" t="str">
        <x:v>P1</x:v>
      </x:c>
      <x:c r="I177" s="950" t="str">
        <x:v>P3-P7</x:v>
      </x:c>
      <x:c r="J177" s="950" t="str">
        <x:v>Release management</x:v>
      </x:c>
      <x:c r="K177" s="950" t="str">
        <x:v>Руководитель проекта / ИТ</x:v>
      </x:c>
      <x:c r="L177" s="950" t="str">
        <x:v>Каждая волна проходит rehearsal, UAT, backup/rollback и стабилизационный период; следующая волна не стартует при открытых критических дефектах.</x:v>
      </x:c>
      <x:c r="M177" s="950" t="str">
        <x:v>D-34,D-41</x:v>
      </x:c>
      <x:c r="N177" s="950" t="str">
        <x:v>BASELINE</x:v>
      </x:c>
      <x:c r="O177" s="950" t="str">
        <x:v>P7-rollout</x:v>
      </x:c>
    </x:row>
    <x:row r="178" ht="64" customHeight="1">
      <x:c r="A178" s="950" t="str">
        <x:v>SCL-009</x:v>
      </x:c>
      <x:c r="B178" s="950" t="str">
        <x:v>Масштабирование и розница</x:v>
      </x:c>
      <x:c r="C178" s="950" t="str">
        <x:v>Производительность сети</x:v>
      </x:c>
      <x:c r="D178" s="950" t="str">
        <x:v>Провести нагрузочное планирование для роста числа магазинов, пользователей, документов и обменов; определить допустимые окна и SLA.</x:v>
      </x:c>
      <x:c r="E178" s="950" t="str">
        <x:v>Нефункциональное</x:v>
      </x:c>
      <x:c r="F178" s="950" t="str">
        <x:v>SRC-11,SRC-19,SRC-21</x:v>
      </x:c>
      <x:c r="G178" s="950" t="str">
        <x:v>Проектное требование для масштабирования</x:v>
      </x:c>
      <x:c r="H178" s="950" t="str">
        <x:v>P1</x:v>
      </x:c>
      <x:c r="I178" s="950" t="str">
        <x:v>P3-P7</x:v>
      </x:c>
      <x:c r="J178" s="950" t="str">
        <x:v>Инфраструктура / 1С / интеграции</x:v>
      </x:c>
      <x:c r="K178" s="950" t="str">
        <x:v>ИТ / архитектор</x:v>
      </x:c>
      <x:c r="L178" s="950" t="str">
        <x:v>Нагрузочные тесты подтверждают целевой объём; длительность обменов и отчётов укладывается в SLA с запасом.</x:v>
      </x:c>
      <x:c r="M178" s="950" t="str">
        <x:v>D-41,D-42</x:v>
      </x:c>
      <x:c r="N178" s="950" t="str">
        <x:v>BASELINE</x:v>
      </x:c>
      <x:c r="O178" s="950" t="str">
        <x:v>P3-performance</x:v>
      </x:c>
    </x:row>
    <x:row r="179" ht="64" customHeight="1">
      <x:c r="A179" s="950" t="str">
        <x:v>SCL-010</x:v>
      </x:c>
      <x:c r="B179" s="950" t="str">
        <x:v>Масштабирование и розница</x:v>
      </x:c>
      <x:c r="C179" s="950" t="str">
        <x:v>Поддержка регионов и франчайзи</x:v>
      </x:c>
      <x:c r="D179" s="950" t="str">
        <x:v>Организовать единый сервис поддержки: понятные каналы обращений, приоритет, SLA, владелец, эскалация и база решений.</x:v>
      </x:c>
      <x:c r="E179" s="950" t="str">
        <x:v>Организационное</x:v>
      </x:c>
      <x:c r="F179" s="950" t="str">
        <x:v>SRC-01,SRC-05,SRC-17,SRC-21</x:v>
      </x:c>
      <x:c r="G179" s="950" t="str">
        <x:v>Подтверждено повторяющимися проблемами поддержки</x:v>
      </x:c>
      <x:c r="H179" s="950" t="str">
        <x:v>P1</x:v>
      </x:c>
      <x:c r="I179" s="950" t="str">
        <x:v>P0-P7</x:v>
      </x:c>
      <x:c r="J179" s="950" t="str">
        <x:v>Service Desk / мониторинг</x:v>
      </x:c>
      <x:c r="K179" s="950" t="str">
        <x:v>ИТ / операционный руководитель</x:v>
      </x:c>
      <x:c r="L179" s="950" t="str">
        <x:v>У каждого обращения есть ID, срок и подтверждение пользователя; повторяющиеся причины анализируются и устраняются.</x:v>
      </x:c>
      <x:c r="M179" s="950" t="str">
        <x:v>D-41</x:v>
      </x:c>
      <x:c r="N179" s="950" t="str">
        <x:v>BASELINE</x:v>
      </x:c>
      <x:c r="O179" s="950" t="str">
        <x:v>P7-support</x:v>
      </x:c>
    </x:row>
    <x:row r="180" ht="64" customHeight="1">
      <x:c r="A180" s="950" t="str">
        <x:v>SCL-011</x:v>
      </x:c>
      <x:c r="B180" s="950" t="str">
        <x:v>Масштабирование и розница</x:v>
      </x:c>
      <x:c r="C180" s="950" t="str">
        <x:v>Сценарное планирование роста</x:v>
      </x:c>
      <x:c r="D180" s="950" t="str">
        <x:v>Дать руководству сценарии роста сети: новые регионы и магазины, продажи, потребность в запасах, персонале, логистике и ИТ-мощностях.</x:v>
      </x:c>
      <x:c r="E180" s="950" t="str">
        <x:v>Аналитическое</x:v>
      </x:c>
      <x:c r="F180" s="950" t="str">
        <x:v>SRC-01,SRC-21</x:v>
      </x:c>
      <x:c r="G180" s="950" t="str">
        <x:v>Стратегический запрос; формулы требуют отдельной методологии</x:v>
      </x:c>
      <x:c r="H180" s="950" t="str">
        <x:v>P2</x:v>
      </x:c>
      <x:c r="I180" s="950" t="str">
        <x:v>P6-P7</x:v>
      </x:c>
      <x:c r="J180" s="950" t="str">
        <x:v>BI / планирование</x:v>
      </x:c>
      <x:c r="K180" s="950" t="str">
        <x:v>Собственник / соучредитель / финансы</x:v>
      </x:c>
      <x:c r="L180" s="950" t="str">
        <x:v>Сценарий содержит исходные предпосылки, версии и сравнение план/факт; влияние можно проследить по регионам и ресурсам.</x:v>
      </x:c>
      <x:c r="M180" s="950" t="str">
        <x:v>D-42</x:v>
      </x:c>
      <x:c r="N180" s="950" t="str">
        <x:v>КАНДИДАТ ВОЛНЫ 2</x:v>
      </x:c>
      <x:c r="O180" s="950" t="str">
        <x:v>P6-planning</x:v>
      </x:c>
    </x:row>
    <x:row r="181" ht="64" customHeight="1">
      <x:c r="A181" s="950" t="str">
        <x:v>SCL-012</x:v>
      </x:c>
      <x:c r="B181" s="950" t="str">
        <x:v>Масштабирование и розница</x:v>
      </x:c>
      <x:c r="C181" s="950" t="str">
        <x:v>От показателя к действию</x:v>
      </x:c>
      <x:c r="D181" s="950" t="str">
        <x:v>Связать стратегические отклонения с конкретными задачами: ответственный, срок, причина, действие и контроль результата.</x:v>
      </x:c>
      <x:c r="E181" s="950" t="str">
        <x:v>Контроль</x:v>
      </x:c>
      <x:c r="F181" s="950" t="str">
        <x:v>SRC-21,SRC-17</x:v>
      </x:c>
      <x:c r="G181" s="950" t="str">
        <x:v>Прямой запрос на управляемый стратегический контур</x:v>
      </x:c>
      <x:c r="H181" s="950" t="str">
        <x:v>P0</x:v>
      </x:c>
      <x:c r="I181" s="950" t="str">
        <x:v>P2-P6</x:v>
      </x:c>
      <x:c r="J181" s="950" t="str">
        <x:v>BI / workflow</x:v>
      </x:c>
      <x:c r="K181" s="950" t="str">
        <x:v>Соучредитель / координатор</x:v>
      </x:c>
      <x:c r="L181" s="950" t="str">
        <x:v>Из критического показателя создаётся задача; закрытие подтверждается изменением показателя или объяснённым решением.</x:v>
      </x:c>
      <x:c r="M181" s="950" t="str">
        <x:v>D-42</x:v>
      </x:c>
      <x:c r="N181" s="950" t="str">
        <x:v>BASELINE</x:v>
      </x:c>
      <x:c r="O181" s="950" t="str">
        <x:v>P6-BI</x:v>
      </x:c>
    </x:row>
    <x:row r="182" ht="64" customHeight="1">
      <x:c r="A182" s="950" t="str">
        <x:v>OPS-001</x:v>
      </x:c>
      <x:c r="B182" s="950" t="str">
        <x:v>Продажи и операционное управление</x:v>
      </x:c>
      <x:c r="C182" s="950" t="str">
        <x:v>Оперативный экран продаж</x:v>
      </x:c>
      <x:c r="D182" s="950" t="str">
        <x:v>Сформировать ежедневный план-факт продаж по каналам, регионам, магазинам, менеджерам, клиентам и товарам с маржой, возвратами и просроченными действиями.</x:v>
      </x:c>
      <x:c r="E182" s="950" t="str">
        <x:v>Бизнес-требование</x:v>
      </x:c>
      <x:c r="F182" s="950" t="str">
        <x:v>SRC-07,SRC-22</x:v>
      </x:c>
      <x:c r="G182" s="950" t="str">
        <x:v>Запрос отдела продаж и операционного руководителя; формулы требуют утверждения</x:v>
      </x:c>
      <x:c r="H182" s="950" t="str">
        <x:v>P0</x:v>
      </x:c>
      <x:c r="I182" s="950" t="str">
        <x:v>P2-P6</x:v>
      </x:c>
      <x:c r="J182" s="950" t="str">
        <x:v>1С / BI / CRM</x:v>
      </x:c>
      <x:c r="K182" s="950" t="str">
        <x:v>Операционный директор</x:v>
      </x:c>
      <x:c r="L182" s="950" t="str">
        <x:v>Отчёт обновляется по регламенту, показывает полноту данных и раскрывается до заказа, реализации, чека и возврата.</x:v>
      </x:c>
      <x:c r="M182" s="950" t="str">
        <x:v>D-42,D-46</x:v>
      </x:c>
      <x:c r="N182" s="950" t="str">
        <x:v>BASELINE</x:v>
      </x:c>
      <x:c r="O182" s="950" t="str">
        <x:v>P6-sales</x:v>
      </x:c>
    </x:row>
    <x:row r="183" ht="64" customHeight="1">
      <x:c r="A183" s="950" t="str">
        <x:v>OPS-002</x:v>
      </x:c>
      <x:c r="B183" s="950" t="str">
        <x:v>Продажи и операционное управление</x:v>
      </x:c>
      <x:c r="C183" s="950" t="str">
        <x:v>Достоверный факт продажи</x:v>
      </x:c>
      <x:c r="D183" s="950" t="str">
        <x:v>Не считать выручкой документ, который проведён, но товар не отгружен или кассовый факт не подтверждён; закрепить единое правило признания продажи.</x:v>
      </x:c>
      <x:c r="E183" s="950" t="str">
        <x:v>Методологическое</x:v>
      </x:c>
      <x:c r="F183" s="950" t="str">
        <x:v>SRC-05,SRC-07,SRC-22</x:v>
      </x:c>
      <x:c r="G183" s="950" t="str">
        <x:v>Подтверждено финансовым интервью и требованиями продаж</x:v>
      </x:c>
      <x:c r="H183" s="950" t="str">
        <x:v>P0</x:v>
      </x:c>
      <x:c r="I183" s="950" t="str">
        <x:v>P1-P2</x:v>
      </x:c>
      <x:c r="J183" s="950" t="str">
        <x:v>1С:УТ / 1С:Розница / BI</x:v>
      </x:c>
      <x:c r="K183" s="950" t="str">
        <x:v>Операционный директор / финансовый директор</x:v>
      </x:c>
      <x:c r="L183" s="950" t="str">
        <x:v>Для опта и розницы определён факт продажи; отчёты исключают неотгруженные документы и сверяются с первичными документами.</x:v>
      </x:c>
      <x:c r="M183" s="950" t="str">
        <x:v>D-44</x:v>
      </x:c>
      <x:c r="N183" s="950" t="str">
        <x:v>ОТКРЫТОЕ РЕШЕНИЕ</x:v>
      </x:c>
      <x:c r="O183" s="950" t="str">
        <x:v>P2-method</x:v>
      </x:c>
    </x:row>
    <x:row r="184" ht="64" customHeight="1">
      <x:c r="A184" s="950" t="str">
        <x:v>OPS-003</x:v>
      </x:c>
      <x:c r="B184" s="950" t="str">
        <x:v>Продажи и операционное управление</x:v>
      </x:c>
      <x:c r="C184" s="950" t="str">
        <x:v>Клиенты, менеджеры и ответственность</x:v>
      </x:c>
      <x:c r="D184" s="950" t="str">
        <x:v>Назначить единого владельца клиента и заказа; устранить дубли клиентов, менеджеров, каналов и территорий.</x:v>
      </x:c>
      <x:c r="E184" s="950" t="str">
        <x:v>Данные / НСИ</x:v>
      </x:c>
      <x:c r="F184" s="950" t="str">
        <x:v>SRC-07,SRC-22</x:v>
      </x:c>
      <x:c r="G184" s="950" t="str">
        <x:v>Следует из потребности в управлении продажами</x:v>
      </x:c>
      <x:c r="H184" s="950" t="str">
        <x:v>P0</x:v>
      </x:c>
      <x:c r="I184" s="950" t="str">
        <x:v>P1-P3</x:v>
      </x:c>
      <x:c r="J184" s="950" t="str">
        <x:v>CRM / 1С / MDM</x:v>
      </x:c>
      <x:c r="K184" s="950" t="str">
        <x:v>Операционный директор / владелец НСИ</x:v>
      </x:c>
      <x:c r="L184" s="950" t="str">
        <x:v>Каждый клиент и заказ однозначно относятся к менеджеру, каналу и территории; изменения владельца имеют историю.</x:v>
      </x:c>
      <x:c r="M184" s="950" t="str">
        <x:v>D-45</x:v>
      </x:c>
      <x:c r="N184" s="950" t="str">
        <x:v>BASELINE</x:v>
      </x:c>
      <x:c r="O184" s="950" t="str">
        <x:v>P1-data</x:v>
      </x:c>
    </x:row>
    <x:row r="185" ht="64" customHeight="1">
      <x:c r="A185" s="950" t="str">
        <x:v>OPS-004</x:v>
      </x:c>
      <x:c r="B185" s="950" t="str">
        <x:v>Продажи и операционное управление</x:v>
      </x:c>
      <x:c r="C185" s="950" t="str">
        <x:v>Воронка и потерянный спрос</x:v>
      </x:c>
      <x:c r="D185" s="950" t="str">
        <x:v>Фиксировать этапы сделки и причины потери: нет товара, цена, срок, отказ клиента, ошибка данных, задержка ответа или логистики.</x:v>
      </x:c>
      <x:c r="E185" s="950" t="str">
        <x:v>Бизнес-требование</x:v>
      </x:c>
      <x:c r="F185" s="950" t="str">
        <x:v>SRC-07,SRC-22</x:v>
      </x:c>
      <x:c r="G185" s="950" t="str">
        <x:v>Запрос продаж; текущий процесс требует проверки на реальных кейсах</x:v>
      </x:c>
      <x:c r="H185" s="950" t="str">
        <x:v>P1</x:v>
      </x:c>
      <x:c r="I185" s="950" t="str">
        <x:v>P4-P6</x:v>
      </x:c>
      <x:c r="J185" s="950" t="str">
        <x:v>CRM / BI</x:v>
      </x:c>
      <x:c r="K185" s="950" t="str">
        <x:v>Операционный директор</x:v>
      </x:c>
      <x:c r="L185" s="950" t="str">
        <x:v>По каждой потерянной продаже есть стандартизированная причина; отчёт показывает потери по менеджерам, товарам и точкам.</x:v>
      </x:c>
      <x:c r="M185" s="950" t="str">
        <x:v>D-45,D-46</x:v>
      </x:c>
      <x:c r="N185" s="950" t="str">
        <x:v>ТРЕБУЕТ ВЕРИФИКАЦИИ</x:v>
      </x:c>
      <x:c r="O185" s="950" t="str">
        <x:v>P6-sales</x:v>
      </x:c>
    </x:row>
    <x:row r="186" ht="64" customHeight="1">
      <x:c r="A186" s="950" t="str">
        <x:v>OPS-005</x:v>
      </x:c>
      <x:c r="B186" s="950" t="str">
        <x:v>Продажи и операционное управление</x:v>
      </x:c>
      <x:c r="C186" s="950" t="str">
        <x:v>Жизненный цикл заказа клиента</x:v>
      </x:c>
      <x:c r="D186" s="950" t="str">
        <x:v>Вести заказ от запроса до оплаты, резерва, комплектации, отгрузки, доставки, возврата и закрытия; исключения не должны теряться в чатах.</x:v>
      </x:c>
      <x:c r="E186" s="950" t="str">
        <x:v>Бизнес-требование</x:v>
      </x:c>
      <x:c r="F186" s="950" t="str">
        <x:v>SRC-07,SRC-22</x:v>
      </x:c>
      <x:c r="G186" s="950" t="str">
        <x:v>Исходные требования и общая процессная модель</x:v>
      </x:c>
      <x:c r="H186" s="950" t="str">
        <x:v>P1</x:v>
      </x:c>
      <x:c r="I186" s="950" t="str">
        <x:v>P2-P6</x:v>
      </x:c>
      <x:c r="J186" s="950" t="str">
        <x:v>1С:УТ / CRM / склад</x:v>
      </x:c>
      <x:c r="K186" s="950" t="str">
        <x:v>Операционный директор / склад</x:v>
      </x:c>
      <x:c r="L186" s="950" t="str">
        <x:v>Заказ имеет единый статус, обещанную дату, ответственного и историю; просрочка или нехватка автоматически попадает в очередь исключений.</x:v>
      </x:c>
      <x:c r="M186" s="950" t="str">
        <x:v>D-45</x:v>
      </x:c>
      <x:c r="N186" s="950" t="str">
        <x:v>BASELINE</x:v>
      </x:c>
      <x:c r="O186" s="950" t="str">
        <x:v>P6-sales</x:v>
      </x:c>
    </x:row>
    <x:row r="187" ht="64" customHeight="1">
      <x:c r="A187" s="950" t="str">
        <x:v>OPS-006</x:v>
      </x:c>
      <x:c r="B187" s="950" t="str">
        <x:v>Продажи и операционное управление</x:v>
      </x:c>
      <x:c r="C187" s="950" t="str">
        <x:v>Скидки и минимальная маржа</x:v>
      </x:c>
      <x:c r="D187" s="950" t="str">
        <x:v>Настроить лимиты скидок и минимальной маржи с учётом полной себестоимости; отклонения должны согласовываться и сохранять причину.</x:v>
      </x:c>
      <x:c r="E187" s="950" t="str">
        <x:v>Методологическое</x:v>
      </x:c>
      <x:c r="F187" s="950" t="str">
        <x:v>SRC-05,SRC-07,SRC-08,SRC-22</x:v>
      </x:c>
      <x:c r="G187" s="950" t="str">
        <x:v>Запрос нескольких блоков; методика не утверждена</x:v>
      </x:c>
      <x:c r="H187" s="950" t="str">
        <x:v>P1</x:v>
      </x:c>
      <x:c r="I187" s="950" t="str">
        <x:v>P2-P6</x:v>
      </x:c>
      <x:c r="J187" s="950" t="str">
        <x:v>1С / MAXMA / approval</x:v>
      </x:c>
      <x:c r="K187" s="950" t="str">
        <x:v>Коммерческий директор / финансы</x:v>
      </x:c>
      <x:c r="L187" s="950" t="str">
        <x:v>Система предупреждает о выходе за лимит; согласование содержит автора, основание, период и финансовый эффект.</x:v>
      </x:c>
      <x:c r="M187" s="950" t="str">
        <x:v>D-04,D-23,D-36,D-46</x:v>
      </x:c>
      <x:c r="N187" s="950" t="str">
        <x:v>ОТКРЫТОЕ РЕШЕНИЕ</x:v>
      </x:c>
      <x:c r="O187" s="950" t="str">
        <x:v>P2-method</x:v>
      </x:c>
    </x:row>
    <x:row r="188" ht="64" customHeight="1">
      <x:c r="A188" s="950" t="str">
        <x:v>OPS-007</x:v>
      </x:c>
      <x:c r="B188" s="950" t="str">
        <x:v>Продажи и операционное управление</x:v>
      </x:c>
      <x:c r="C188" s="950" t="str">
        <x:v>Рабочая очередь отклонений</x:v>
      </x:c>
      <x:c r="D188" s="950" t="str">
        <x:v>Автоматически формировать задачи по просроченным заказам, отсутствию товара, неподтверждённой отгрузке, возвратам и марже ниже порога.</x:v>
      </x:c>
      <x:c r="E188" s="950" t="str">
        <x:v>Контроль</x:v>
      </x:c>
      <x:c r="F188" s="950" t="str">
        <x:v>SRC-07,SRC-17,SRC-22</x:v>
      </x:c>
      <x:c r="G188" s="950" t="str">
        <x:v>Следует из операционного запроса и регламента проекта</x:v>
      </x:c>
      <x:c r="H188" s="950" t="str">
        <x:v>P1</x:v>
      </x:c>
      <x:c r="I188" s="950" t="str">
        <x:v>P4-P6</x:v>
      </x:c>
      <x:c r="J188" s="950" t="str">
        <x:v>Workflow / BI / CRM</x:v>
      </x:c>
      <x:c r="K188" s="950" t="str">
        <x:v>Операционный директор</x:v>
      </x:c>
      <x:c r="L188" s="950" t="str">
        <x:v>Каждое отклонение имеет приоритет, владельца, срок и подтверждение закрытия; повторные причины видны отдельно.</x:v>
      </x:c>
      <x:c r="M188" s="950" t="str">
        <x:v>D-45,D-46</x:v>
      </x:c>
      <x:c r="N188" s="950" t="str">
        <x:v>BASELINE</x:v>
      </x:c>
      <x:c r="O188" s="950" t="str">
        <x:v>P6-sales</x:v>
      </x:c>
    </x:row>
    <x:row r="189" ht="64" customHeight="1">
      <x:c r="A189" s="950" t="str">
        <x:v>OPS-008</x:v>
      </x:c>
      <x:c r="B189" s="950" t="str">
        <x:v>Продажи и операционное управление</x:v>
      </x:c>
      <x:c r="C189" s="950" t="str">
        <x:v>Паспорта KPI продаж</x:v>
      </x:c>
      <x:c r="D189" s="950" t="str">
        <x:v>Утвердить определения продаж, валовой прибыли, маржи, возвратов, конверсии, среднего чека, активности клиента и эффективности менеджера.</x:v>
      </x:c>
      <x:c r="E189" s="950" t="str">
        <x:v>Методологическое</x:v>
      </x:c>
      <x:c r="F189" s="950" t="str">
        <x:v>SRC-07,SRC-22</x:v>
      </x:c>
      <x:c r="G189" s="950" t="str">
        <x:v>Запрос на единое управление; формулы требуют владельца</x:v>
      </x:c>
      <x:c r="H189" s="950" t="str">
        <x:v>P1</x:v>
      </x:c>
      <x:c r="I189" s="950" t="str">
        <x:v>P2-P6</x:v>
      </x:c>
      <x:c r="J189" s="950" t="str">
        <x:v>BI / методология</x:v>
      </x:c>
      <x:c r="K189" s="950" t="str">
        <x:v>Операционный директор / финансы</x:v>
      </x:c>
      <x:c r="L189" s="950" t="str">
        <x:v>Для каждого KPI есть формула, владелец, период, исключения и контрольный пример; показатель раскрывается до документа.</x:v>
      </x:c>
      <x:c r="M189" s="950" t="str">
        <x:v>D-23,D-46</x:v>
      </x:c>
      <x:c r="N189" s="950" t="str">
        <x:v>ОТКРЫТОЕ РЕШЕНИЕ</x:v>
      </x:c>
      <x:c r="O189" s="950" t="str">
        <x:v>P2-method</x:v>
      </x:c>
    </x:row>
  </x:sheetData>
  <x:mergeCells>
    <x:mergeCell ref="A1:O1"/>
    <x:mergeCell ref="A2:O2"/>
  </x:mergeCells>
  <x:conditionalFormatting sqref="H5:H149">
    <x:cfRule type="expression" dxfId="0" priority="1">
      <x:formula>H5="P0"</x:formula>
    </x:cfRule>
    <x:cfRule type="expression" dxfId="1" priority="2">
      <x:formula>H5="P1"</x:formula>
    </x:cfRule>
    <x:cfRule type="expression" dxfId="2" priority="3">
      <x:formula>H5="P2"</x:formula>
    </x:cfRule>
  </x:conditionalFormatting>
  <x:conditionalFormatting sqref="N5:N149">
    <x:cfRule type="expression" dxfId="3" priority="4">
      <x:formula>ISNUMBER(SEARCH("РЕАЛИЗОВАНО",N5))</x:formula>
    </x:cfRule>
    <x:cfRule type="expression" dxfId="4" priority="5">
      <x:formula>ISNUMBER(SEARCH("ОТКРЫТО",N5))</x:formula>
    </x:cfRule>
  </x:conditionalFormatting>
  <x:conditionalFormatting sqref="H170:H189">
    <x:cfRule type="expression" dxfId="22" priority="6">
      <x:formula>H170="P0"</x:formula>
    </x:cfRule>
    <x:cfRule type="expression" dxfId="23" priority="7">
      <x:formula>H170="P1"</x:formula>
    </x:cfRule>
    <x:cfRule type="expression" dxfId="24" priority="8">
      <x:formula>H170="P2"</x:formula>
    </x:cfRule>
  </x:conditionalFormatting>
  <x:dataValidations count="1">
    <x:dataValidation type="list" sqref="H5:H149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5514d6f5964c8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4" hidden="0" customWidth="1"/>
    <x:col min="4" max="4" width="55" hidden="0" customWidth="1"/>
    <x:col min="5" max="5" width="55" hidden="0" customWidth="1"/>
    <x:col min="6" max="6" width="14" hidden="0" customWidth="1"/>
    <x:col min="7" max="7" width="22" hidden="0" customWidth="1"/>
  </x:cols>
  <x:sheetData>
    <x:row r="1" ht="32" customHeight="1">
      <x:c r="A1" s="5" t="str">
        <x:v>Карта бизнес-процессов — 34 процесса</x:v>
      </x:c>
      <x:c r="B1" s="5"/>
      <x:c r="C1" s="5"/>
      <x:c r="D1" s="5"/>
      <x:c r="E1" s="5"/>
      <x:c r="F1" s="5"/>
      <x:c r="G1" s="5"/>
    </x:row>
    <x:row r="2" ht="28" customHeight="1">
      <x:c r="A2" s="14" t="str">
        <x:v>AS-IS, целевое состояние, владелец и этап реализации</x:v>
      </x:c>
      <x:c r="B2" s="14"/>
      <x:c r="C2" s="14"/>
      <x:c r="D2" s="14"/>
      <x:c r="E2" s="14"/>
      <x:c r="F2" s="14"/>
      <x:c r="G2" s="14"/>
    </x:row>
    <x:row r="4" ht="32" customHeight="1">
      <x:c r="A4" s="73" t="str">
        <x:v>ID</x:v>
      </x:c>
      <x:c r="B4" s="74" t="str">
        <x:v>Процесс</x:v>
      </x:c>
      <x:c r="C4" s="74" t="str">
        <x:v>Владелец</x:v>
      </x:c>
      <x:c r="D4" s="74" t="str">
        <x:v>AS-IS</x:v>
      </x:c>
      <x:c r="E4" s="74" t="str">
        <x:v>TO-BE</x:v>
      </x:c>
      <x:c r="F4" s="74" t="str">
        <x:v>Этап</x:v>
      </x:c>
      <x:c r="G4" s="75" t="str">
        <x:v>Статус обследования</x:v>
      </x:c>
    </x:row>
    <x:row r="5" ht="58" customHeight="1">
      <x:c r="A5" s="108" t="str">
        <x:v>BP-01</x:v>
      </x:c>
      <x:c r="B5" s="109" t="str">
        <x:v>Импорт из Китая и расчёт landed cost</x:v>
      </x:c>
      <x:c r="C5" s="109" t="str">
        <x:v>Импорт / финансы</x:v>
      </x:c>
      <x:c r="D5" s="109" t="str">
        <x:v>Онлайн-калькулятор существует; алгоритмы и источники полностью не формализованы</x:v>
      </x:c>
      <x:c r="E5" s="109" t="str">
        <x:v>Расчёт привязан к партии, документам и фактической себестоимости</x:v>
      </x:c>
      <x:c r="F5" s="109" t="str">
        <x:v>P2/P6</x:v>
      </x:c>
      <x:c r="G5" s="110" t="str">
        <x:v>Требует отдельной сессии</x:v>
      </x:c>
    </x:row>
    <x:row r="6" ht="58" customHeight="1">
      <x:c r="A6" s="111" t="str">
        <x:v>BP-02</x:v>
      </x:c>
      <x:c r="B6" s="112" t="str">
        <x:v>Поставка на РЦ и распределение</x:v>
      </x:c>
      <x:c r="C6" s="112" t="str">
        <x:v>Логистика / склад</x:v>
      </x:c>
      <x:c r="D6" s="112" t="str">
        <x:v>Импорт поступает на РЦ; распределение и исключения показаны неполно</x:v>
      </x:c>
      <x:c r="E6" s="112" t="str">
        <x:v>Прозрачные маршруты, заказы/перемещения и статусы исполнения</x:v>
      </x:c>
      <x:c r="F6" s="112" t="str">
        <x:v>P2/P5</x:v>
      </x:c>
      <x:c r="G6" s="113" t="str">
        <x:v>Частично обследован</x:v>
      </x:c>
    </x:row>
    <x:row r="7" ht="58" customHeight="1">
      <x:c r="A7" s="111" t="str">
        <x:v>BP-03</x:v>
      </x:c>
      <x:c r="B7" s="112" t="str">
        <x:v>Межфирменная поставка</x:v>
      </x:c>
      <x:c r="C7" s="112" t="str">
        <x:v>Финансы / операции</x:v>
      </x:c>
      <x:c r="D7" s="112" t="str">
        <x:v>Возможен ручной зеркальный ввод реализации и поступления</x:v>
      </x:c>
      <x:c r="E7" s="112" t="str">
        <x:v>Связанные документы разных юрлиц с контролем цен, налогов и расхождений</x:v>
      </x:c>
      <x:c r="F7" s="112" t="str">
        <x:v>P2/P5</x:v>
      </x:c>
      <x:c r="G7" s="113" t="str">
        <x:v>Требует верификации</x:v>
      </x:c>
    </x:row>
    <x:row r="8" ht="58" customHeight="1">
      <x:c r="A8" s="111" t="str">
        <x:v>BP-04</x:v>
      </x:c>
      <x:c r="B8" s="112" t="str">
        <x:v>Управление номенклатурой</x:v>
      </x:c>
      <x:c r="C8" s="112" t="str">
        <x:v>Категорийный менеджмент</x:v>
      </x:c>
      <x:c r="D8" s="112" t="str">
        <x:v>НСИ и идентификаторы неоднородны между базами</x:v>
      </x:c>
      <x:c r="E8" s="112" t="str">
        <x:v>1С master, обязательные атрибуты, versioned mapping и data ownership</x:v>
      </x:c>
      <x:c r="F8" s="112" t="str">
        <x:v>P2/P4</x:v>
      </x:c>
      <x:c r="G8" s="113" t="str">
        <x:v>Критический</x:v>
      </x:c>
    </x:row>
    <x:row r="9" ht="58" customHeight="1">
      <x:c r="A9" s="111" t="str">
        <x:v>BP-05</x:v>
      </x:c>
      <x:c r="B9" s="112" t="str">
        <x:v>Получение и обработка прайсов</x:v>
      </x:c>
      <x:c r="C9" s="112" t="str">
        <x:v>Категорийный менеджмент</x:v>
      </x:c>
      <x:c r="D9" s="112" t="str">
        <x:v>Разнородные XLS/XLSX/CSV/XLS, ручная обработка</x:v>
      </x:c>
      <x:c r="E9" s="112" t="str">
        <x:v>Профили, нормализация, DQ и канонический пакет</x:v>
      </x:c>
      <x:c r="F9" s="112" t="str">
        <x:v>P3</x:v>
      </x:c>
      <x:c r="G9" s="113" t="str">
        <x:v>В реализации</x:v>
      </x:c>
    </x:row>
    <x:row r="10" ht="58" customHeight="1">
      <x:c r="A10" s="111" t="str">
        <x:v>BP-06</x:v>
      </x:c>
      <x:c r="B10" s="112" t="str">
        <x:v>Централизованный заказ поставщику</x:v>
      </x:c>
      <x:c r="C10" s="112" t="str">
        <x:v>Категорийный менеджмент</x:v>
      </x:c>
      <x:c r="D10" s="112" t="str">
        <x:v>Заказы зависят от магазинов и Excel</x:v>
      </x:c>
      <x:c r="E10" s="112" t="str">
        <x:v>Расчёт потребности и черновик заказа в 1С</x:v>
      </x:c>
      <x:c r="F10" s="112" t="str">
        <x:v>P4</x:v>
      </x:c>
      <x:c r="G10" s="113" t="str">
        <x:v>Baseline</x:v>
      </x:c>
    </x:row>
    <x:row r="11" ht="58" customHeight="1">
      <x:c r="A11" s="111" t="str">
        <x:v>BP-07</x:v>
      </x:c>
      <x:c r="B11" s="112" t="str">
        <x:v>Подтверждение поставщиком</x:v>
      </x:c>
      <x:c r="C11" s="112" t="str">
        <x:v>Закупки</x:v>
      </x:c>
      <x:c r="D11" s="112" t="str">
        <x:v>Статусы и изменения фиксируются неоднородно</x:v>
      </x:c>
      <x:c r="E11" s="112" t="str">
        <x:v>Подтверждение срока/цены/количества и связь с приёмкой</x:v>
      </x:c>
      <x:c r="F11" s="112" t="str">
        <x:v>P4/P5</x:v>
      </x:c>
      <x:c r="G11" s="113" t="str">
        <x:v>Требует детализации</x:v>
      </x:c>
    </x:row>
    <x:row r="12" ht="58" customHeight="1">
      <x:c r="A12" s="111" t="str">
        <x:v>BP-08</x:v>
      </x:c>
      <x:c r="B12" s="112" t="str">
        <x:v>Приёмка поставки</x:v>
      </x:c>
      <x:c r="C12" s="112" t="str">
        <x:v>Склад / магазины</x:v>
      </x:c>
      <x:c r="D12" s="112" t="str">
        <x:v>Сканирование и повторный ручной ввод; неизвестные позиции требуют поиска</x:v>
      </x:c>
      <x:c r="E12" s="112" t="str">
        <x:v>Receipt staging, scan fact, exceptions и типовой документ</x:v>
      </x:c>
      <x:c r="F12" s="112" t="str">
        <x:v>P5</x:v>
      </x:c>
      <x:c r="G12" s="113" t="str">
        <x:v>Baseline</x:v>
      </x:c>
    </x:row>
    <x:row r="13" ht="58" customHeight="1">
      <x:c r="A13" s="111" t="str">
        <x:v>BP-09</x:v>
      </x:c>
      <x:c r="B13" s="112" t="str">
        <x:v>Перемещения между точками</x:v>
      </x:c>
      <x:c r="C13" s="112" t="str">
        <x:v>Логистика</x:v>
      </x:c>
      <x:c r="D13" s="112" t="str">
        <x:v>Требуется прозрачность отправки/приёмки/транзита</x:v>
      </x:c>
      <x:c r="E13" s="112" t="str">
        <x:v>Сквозной статус и контроль расхождений</x:v>
      </x:c>
      <x:c r="F13" s="112" t="str">
        <x:v>P5/P6</x:v>
      </x:c>
      <x:c r="G13" s="113" t="str">
        <x:v>Требует UAT</x:v>
      </x:c>
    </x:row>
    <x:row r="14" ht="58" customHeight="1">
      <x:c r="A14" s="111" t="str">
        <x:v>BP-10</x:v>
      </x:c>
      <x:c r="B14" s="112" t="str">
        <x:v>Остатки и отрицательные остатки</x:v>
      </x:c>
      <x:c r="C14" s="112" t="str">
        <x:v>Склад / финансы</x:v>
      </x:c>
      <x:c r="D14" s="112" t="str">
        <x:v>Ручные расследования и технические корректировки</x:v>
      </x:c>
      <x:c r="E14" s="112" t="str">
        <x:v>Единые определения, реестр причин, SLA и контроль документов</x:v>
      </x:c>
      <x:c r="F14" s="112" t="str">
        <x:v>P1/P6</x:v>
      </x:c>
      <x:c r="G14" s="113" t="str">
        <x:v>P0</x:v>
      </x:c>
    </x:row>
    <x:row r="15" ht="58" customHeight="1">
      <x:c r="A15" s="111" t="str">
        <x:v>BP-11</x:v>
      </x:c>
      <x:c r="B15" s="112" t="str">
        <x:v>Ценообразование и переоценка</x:v>
      </x:c>
      <x:c r="C15" s="112" t="str">
        <x:v>Коммерция / КМ</x:v>
      </x:c>
      <x:c r="D15" s="112" t="str">
        <x:v>Потребности описаны, методика и роли не утверждены</x:v>
      </x:c>
      <x:c r="E15" s="112" t="str">
        <x:v>Виды цен, маржа, approval, история и rollback</x:v>
      </x:c>
      <x:c r="F15" s="112" t="str">
        <x:v>P2/P6</x:v>
      </x:c>
      <x:c r="G15" s="113" t="str">
        <x:v>Требует решения</x:v>
      </x:c>
    </x:row>
    <x:row r="16" ht="58" customHeight="1">
      <x:c r="A16" s="111" t="str">
        <x:v>BP-12</x:v>
      </x:c>
      <x:c r="B16" s="112" t="str">
        <x:v>Продажи и коммерческая аналитика</x:v>
      </x:c>
      <x:c r="C16" s="112" t="str">
        <x:v>Продажи / КМ</x:v>
      </x:c>
      <x:c r="D16" s="112" t="str">
        <x:v>Часть отчётов есть, данные собираются вручную и не всегда полны</x:v>
      </x:c>
      <x:c r="E16" s="112" t="str">
        <x:v>Единая витрина с drill-down и паспортами показателей</x:v>
      </x:c>
      <x:c r="F16" s="112" t="str">
        <x:v>P6</x:v>
      </x:c>
      <x:c r="G16" s="113" t="str">
        <x:v>Baseline</x:v>
      </x:c>
    </x:row>
    <x:row r="17" ht="58" customHeight="1">
      <x:c r="A17" s="111" t="str">
        <x:v>BP-13</x:v>
      </x:c>
      <x:c r="B17" s="112" t="str">
        <x:v>Обмен Розница → УТ</x:v>
      </x:c>
      <x:c r="C17" s="112" t="str">
        <x:v>ИТ / финансы</x:v>
      </x:c>
      <x:c r="D17" s="112" t="str">
        <x:v>Ручные операции, предупреждения и непроведённые документы</x:v>
      </x:c>
      <x:c r="E17" s="112" t="str">
        <x:v>Автоматический контролируемый обмен с exception queue</x:v>
      </x:c>
      <x:c r="F17" s="112" t="str">
        <x:v>P1</x:v>
      </x:c>
      <x:c r="G17" s="113" t="str">
        <x:v>P0</x:v>
      </x:c>
    </x:row>
    <x:row r="18" ht="58" customHeight="1">
      <x:c r="A18" s="111" t="str">
        <x:v>BP-14</x:v>
      </x:c>
      <x:c r="B18" s="112" t="str">
        <x:v>Закрытие месяца</x:v>
      </x:c>
      <x:c r="C18" s="112" t="str">
        <x:v>Финансовый директор</x:v>
      </x:c>
      <x:c r="D18" s="112" t="str">
        <x:v>Поздние документы, reopen, неустойчивые аналитики</x:v>
      </x:c>
      <x:c r="E18" s="112" t="str">
        <x:v>Календарь, cut-off, контроль исключений и утверждение</x:v>
      </x:c>
      <x:c r="F18" s="112" t="str">
        <x:v>P2/P6</x:v>
      </x:c>
      <x:c r="G18" s="113" t="str">
        <x:v>P0</x:v>
      </x:c>
    </x:row>
    <x:row r="19" ht="58" customHeight="1">
      <x:c r="A19" s="111" t="str">
        <x:v>BP-15</x:v>
      </x:c>
      <x:c r="B19" s="112" t="str">
        <x:v>Себестоимость</x:v>
      </x:c>
      <x:c r="C19" s="112" t="str">
        <x:v>Финансы / закупки</x:v>
      </x:c>
      <x:c r="D19" s="112" t="str">
        <x:v>Ручной ввод и расследования</x:v>
      </x:c>
      <x:c r="E19" s="112" t="str">
        <x:v>Утверждённая формула и единый источник</x:v>
      </x:c>
      <x:c r="F19" s="112" t="str">
        <x:v>P1/P2/P6</x:v>
      </x:c>
      <x:c r="G19" s="113" t="str">
        <x:v>P0</x:v>
      </x:c>
    </x:row>
    <x:row r="20" ht="58" customHeight="1">
      <x:c r="A20" s="111" t="str">
        <x:v>BP-16</x:v>
      </x:c>
      <x:c r="B20" s="112" t="str">
        <x:v>Управленческий P&amp;L</x:v>
      </x:c>
      <x:c r="C20" s="112" t="str">
        <x:v>Финансовый директор</x:v>
      </x:c>
      <x:c r="D20" s="112" t="str">
        <x:v>Excel финансового менеджера, методика не авторизована</x:v>
      </x:c>
      <x:c r="E20" s="112" t="str">
        <x:v>P&amp;L по начислению с расшифровкой до документа</x:v>
      </x:c>
      <x:c r="F20" s="112" t="str">
        <x:v>P2/P6</x:v>
      </x:c>
      <x:c r="G20" s="113" t="str">
        <x:v>Критический</x:v>
      </x:c>
    </x:row>
    <x:row r="21" ht="58" customHeight="1">
      <x:c r="A21" s="111" t="str">
        <x:v>BP-17</x:v>
      </x:c>
      <x:c r="B21" s="112" t="str">
        <x:v>БДДС и казначейство</x:v>
      </x:c>
      <x:c r="C21" s="112" t="str">
        <x:v>Финансовый директор</x:v>
      </x:c>
      <x:c r="D21" s="112" t="str">
        <x:v>Рабочий внешний реестр, ручной ввод и отдельный банк</x:v>
      </x:c>
      <x:c r="E21" s="112" t="str">
        <x:v>Единая заявка, статусы и сверка с банком</x:v>
      </x:c>
      <x:c r="F21" s="112" t="str">
        <x:v>P2/P6</x:v>
      </x:c>
      <x:c r="G21" s="113" t="str">
        <x:v>Сохранять и усилить</x:v>
      </x:c>
    </x:row>
    <x:row r="22" ht="58" customHeight="1">
      <x:c r="A22" s="111" t="str">
        <x:v>BP-18</x:v>
      </x:c>
      <x:c r="B22" s="112" t="str">
        <x:v>Бухгалтерский обмен</x:v>
      </x:c>
      <x:c r="C22" s="112" t="str">
        <x:v>Главный бухгалтер</x:v>
      </x:c>
      <x:c r="D22" s="112" t="str">
        <x:v>Возможны ручные корректировки и расхождения</x:v>
      </x:c>
      <x:c r="E22" s="112" t="str">
        <x:v>Регулярная сверка и реестр корректировок</x:v>
      </x:c>
      <x:c r="F22" s="112" t="str">
        <x:v>P2/P6</x:v>
      </x:c>
      <x:c r="G22" s="113" t="str">
        <x:v>Требует регламента</x:v>
      </x:c>
    </x:row>
    <x:row r="23" ht="58" customHeight="1">
      <x:c r="A23" s="111" t="str">
        <x:v>BP-19</x:v>
      </x:c>
      <x:c r="B23" s="112" t="str">
        <x:v>Оптовые продажи и отгрузка</x:v>
      </x:c>
      <x:c r="C23" s="112" t="str">
        <x:v>Коммерция / склад</x:v>
      </x:c>
      <x:c r="D23" s="112" t="str">
        <x:v>Возможны проведённые, но не отгруженные реализации</x:v>
      </x:c>
      <x:c r="E23" s="112" t="str">
        <x:v>Выручка только при подтверждённом факте отгрузки</x:v>
      </x:c>
      <x:c r="F23" s="112" t="str">
        <x:v>P1/P2</x:v>
      </x:c>
      <x:c r="G23" s="113" t="str">
        <x:v>P0</x:v>
      </x:c>
    </x:row>
    <x:row r="24" ht="58" customHeight="1">
      <x:c r="A24" s="111" t="str">
        <x:v>BP-20</x:v>
      </x:c>
      <x:c r="B24" s="112" t="str">
        <x:v>Запуск нового магазина</x:v>
      </x:c>
      <x:c r="C24" s="112" t="str">
        <x:v>Розница / ИТ / финансы</x:v>
      </x:c>
      <x:c r="D24" s="112" t="str">
        <x:v>Готовность контуров проверяется неоднородно</x:v>
      </x:c>
      <x:c r="E24" s="112" t="str">
        <x:v>Подписываемый чек-лист до первой продажи</x:v>
      </x:c>
      <x:c r="F24" s="112" t="str">
        <x:v>P2/P7</x:v>
      </x:c>
      <x:c r="G24" s="113" t="str">
        <x:v>Baseline</x:v>
      </x:c>
    </x:row>
    <x:row r="25" ht="58" customHeight="1">
      <x:c r="A25" s="111" t="str">
        <x:v>BP-21</x:v>
      </x:c>
      <x:c r="B25" s="112" t="str">
        <x:v>Управление изменениями и релизами</x:v>
      </x:c>
      <x:c r="C25" s="112" t="str">
        <x:v>Координатор / ИТ</x:v>
      </x:c>
      <x:c r="D25" s="112" t="str">
        <x:v>Нет прозрачной связи оплата → задача → принятый результат</x:v>
      </x:c>
      <x:c r="E25" s="112" t="str">
        <x:v>WORK-NNN, PR, CI, UAT, backup и rollback</x:v>
      </x:c>
      <x:c r="F25" s="112" t="str">
        <x:v>P0-P7</x:v>
      </x:c>
      <x:c r="G25" s="113" t="str">
        <x:v>Baseline</x:v>
      </x:c>
    </x:row>
    <x:row r="26" ht="58" customHeight="1">
      <x:c r="A26" s="111" t="str">
        <x:v>BP-22</x:v>
      </x:c>
      <x:c r="B26" s="112" t="str">
        <x:v>Мониторинг и поддержка</x:v>
      </x:c>
      <x:c r="C26" s="112" t="str">
        <x:v>ИТ</x:v>
      </x:c>
      <x:c r="D26" s="112" t="str">
        <x:v>Контроль распределён по локальным файлам и обращениям</x:v>
      </x:c>
      <x:c r="E26" s="112" t="str">
        <x:v>Единый monitoring, alerts, incident/runbook и SLA</x:v>
      </x:c>
      <x:c r="F26" s="112" t="str">
        <x:v>P3/P7</x:v>
      </x:c>
      <x:c r="G26" s="113" t="str">
        <x:v>Baseline</x:v>
      </x:c>
    </x:row>
    <x:row r="27" ht="58" customHeight="1">
      <x:c r="A27" s="111" t="str">
        <x:v>BP-23</x:v>
      </x:c>
      <x:c r="B27" s="112" t="str">
        <x:v>Управление доступами</x:v>
      </x:c>
      <x:c r="C27" s="112" t="str">
        <x:v>ИТ / data owners</x:v>
      </x:c>
      <x:c r="D27" s="112" t="str">
        <x:v>Временные и широкие доступы, таблицы по ссылке</x:v>
      </x:c>
      <x:c r="E27" s="112" t="str">
        <x:v>RBAC, least privilege, отзыв временных прав и аудит</x:v>
      </x:c>
      <x:c r="F27" s="112" t="str">
        <x:v>P0/P3/P6</x:v>
      </x:c>
      <x:c r="G27" s="113" t="str">
        <x:v>P0</x:v>
      </x:c>
    </x:row>
    <x:row r="28" ht="58" customHeight="1">
      <x:c r="A28" s="111" t="str">
        <x:v>BP-24</x:v>
      </x:c>
      <x:c r="B28" s="112" t="str">
        <x:v>Таможенное декларирование</x:v>
      </x:c>
      <x:c r="C28" s="112" t="str">
        <x:v>Импорт</x:v>
      </x:c>
      <x:c r="D28" s="112" t="str">
        <x:v>Рабочий ручной процесс через брокера</x:v>
      </x:c>
      <x:c r="E28" s="112" t="str">
        <x:v>Кандидат следующей волны: пакет из 1С и обратные статусы</x:v>
      </x:c>
      <x:c r="F28" s="112" t="str">
        <x:v>После P7</x:v>
      </x:c>
      <x:c r="G28" s="113" t="str">
        <x:v>Вне первой волны</x:v>
      </x:c>
    </x:row>
    <x:row r="29" ht="58" customHeight="1">
      <x:c r="A29" s="114" t="str">
        <x:v>BP-25</x:v>
      </x:c>
      <x:c r="B29" s="115" t="str">
        <x:v>Франчайзи и партнёры</x:v>
      </x:c>
      <x:c r="C29" s="115" t="str">
        <x:v>Собственник / коммерция</x:v>
      </x:c>
      <x:c r="D29" s="115" t="str">
        <x:v>Разные регионы и склады; детальный процесс не обследован</x:v>
      </x:c>
      <x:c r="E29" s="115" t="str">
        <x:v>Отдельный поток интеграций, цен и отчётности после стабилизации ядра</x:v>
      </x:c>
      <x:c r="F29" s="115" t="str">
        <x:v>После P6</x:v>
      </x:c>
      <x:c r="G29" s="116" t="str">
        <x:v>Требует обследования</x:v>
      </x:c>
    </x:row>
    <x:row r="30">
      <x:c r="A30" t="str">
        <x:v>BP-26</x:v>
      </x:c>
      <x:c r="B30" t="str">
        <x:v>Переход Frontol → 1С:Розница</x:v>
      </x:c>
      <x:c r="C30" t="str">
        <x:v>Розница / ИТ</x:v>
      </x:c>
      <x:c r="D30" t="str">
        <x:v>Отдельные Frontol и ручное обслуживание; часть точек уже мигрирована</x:v>
      </x:c>
      <x:c r="E30" t="str">
        <x:v>Узловая архитектура 1С:Розницы с controlled coexistence, cutover и rollback</x:v>
      </x:c>
      <x:c r="F30" t="str">
        <x:v>P0/P1/P3/P7</x:v>
      </x:c>
      <x:c r="G30" t="str">
        <x:v>Новый source baseline</x:v>
      </x:c>
    </x:row>
    <x:row r="31">
      <x:c r="A31" t="str">
        <x:v>BP-27</x:v>
      </x:c>
      <x:c r="B31" t="str">
        <x:v>Централизованное управление НСИ, ценами и правами</x:v>
      </x:c>
      <x:c r="C31" t="str">
        <x:v>КМ / коммерция / ИТ</x:v>
      </x:c>
      <x:c r="D31" t="str">
        <x:v>Разные базы и локальные настройки</x:v>
      </x:c>
      <x:c r="E31" t="str">
        <x:v>Единая УТ + центральная Розница управляют НСИ, ценами, скидками и ролями</x:v>
      </x:c>
      <x:c r="F31" t="str">
        <x:v>P2/P3/P6</x:v>
      </x:c>
      <x:c r="G31" t="str">
        <x:v>Baseline Форус</x:v>
      </x:c>
    </x:row>
    <x:row r="32">
      <x:c r="A32" t="str">
        <x:v>BP-28</x:v>
      </x:c>
      <x:c r="B32" t="str">
        <x:v>Обмен центральная Розница → регионы → франчайзи</x:v>
      </x:c>
      <x:c r="C32" t="str">
        <x:v>ИТ / розница</x:v>
      </x:c>
      <x:c r="D32" t="str">
        <x:v>Топология и SLA не зафиксированы в общем проекте</x:v>
      </x:c>
      <x:c r="E32" t="str">
        <x:v>Утверждённые узлы, маршруты, мониторинг и исключения</x:v>
      </x:c>
      <x:c r="F32" t="str">
        <x:v>P0/P1/P3/P7</x:v>
      </x:c>
      <x:c r="G32" t="str">
        <x:v>Baseline Форус</x:v>
      </x:c>
    </x:row>
    <x:row r="33">
      <x:c r="A33" t="str">
        <x:v>BP-29</x:v>
      </x:c>
      <x:c r="B33" t="str">
        <x:v>Управление портфелем расширений 1С</x:v>
      </x:c>
      <x:c r="C33" t="str">
        <x:v>Архитектурный комитет / владелец 1С</x:v>
      </x:c>
      <x:c r="D33" t="str">
        <x:v>14 расширений с разным кодом, данными и совместимостью</x:v>
      </x:c>
      <x:c r="E33" t="str">
        <x:v>Паспорта, disposition matrix, migration, regression и controlled retirement</x:v>
      </x:c>
      <x:c r="F33" t="str">
        <x:v>P0/P2/P3/P7</x:v>
      </x:c>
      <x:c r="G33" t="str">
        <x:v>Критический новый поток</x:v>
      </x:c>
    </x:row>
    <x:row r="34">
      <x:c r="A34" t="str">
        <x:v>BP-30</x:v>
      </x:c>
      <x:c r="B34" t="str">
        <x:v>Интеграция MAXMA и управление скидками</x:v>
      </x:c>
      <x:c r="C34" t="str">
        <x:v>Коммерция / ИТ</x:v>
      </x:c>
      <x:c r="D34" t="str">
        <x:v>В презентации заявлена интеграция; детали не обследованы</x:v>
      </x:c>
      <x:c r="E34" t="str">
        <x:v>Утверждённые правила скидок, приоритеты, синхронизация и аудит</x:v>
      </x:c>
      <x:c r="F34" t="str">
        <x:v>P2/P6</x:v>
      </x:c>
      <x:c r="G34" t="str">
        <x:v>Требует отдельного обследования</x:v>
      </x:c>
    </x:row>
    <x:row r="35" ht="54" customHeight="1">
      <x:c r="A35" s="1060" t="str">
        <x:v>BP-31</x:v>
      </x:c>
      <x:c r="B35" s="1060" t="str">
        <x:v>Масштабирование региона и франчайзи</x:v>
      </x:c>
      <x:c r="C35" s="1060" t="str">
        <x:v>Соучредитель / розница</x:v>
      </x:c>
      <x:c r="D35" s="1060" t="str">
        <x:v>Подключение зависит от локальных договорённостей и разной готовности данных</x:v>
      </x:c>
      <x:c r="E35" s="1060" t="str">
        <x:v>Повторяемый пакет: НСИ, роли, узлы, обмены, отчёты, обучение, UAT и SLA</x:v>
      </x:c>
      <x:c r="F35" s="1060" t="str">
        <x:v>P3/P7</x:v>
      </x:c>
      <x:c r="G35" s="1060" t="str">
        <x:v>Новый блок интервью</x:v>
      </x:c>
    </x:row>
    <x:row r="36" ht="54" customHeight="1">
      <x:c r="A36" s="1060" t="str">
        <x:v>BP-32</x:v>
      </x:c>
      <x:c r="B36" s="1060" t="str">
        <x:v>Стратегический контроль сети</x:v>
      </x:c>
      <x:c r="C36" s="1060" t="str">
        <x:v>Собственник / соучредитель</x:v>
      </x:c>
      <x:c r="D36" s="1060" t="str">
        <x:v>Отчёты и срезы собираются из разных источников; полнота не всегда видна</x:v>
      </x:c>
      <x:c r="E36" s="1060" t="str">
        <x:v>Единый BI-контур с паспортами KPI, freshness и задачами по отклонениям</x:v>
      </x:c>
      <x:c r="F36" s="1060" t="str">
        <x:v>P2/P6</x:v>
      </x:c>
      <x:c r="G36" s="1060" t="str">
        <x:v>Новый блок интервью</x:v>
      </x:c>
    </x:row>
    <x:row r="37" ht="54" customHeight="1">
      <x:c r="A37" s="1060" t="str">
        <x:v>BP-33</x:v>
      </x:c>
      <x:c r="B37" s="1060" t="str">
        <x:v>Операционное управление продажами</x:v>
      </x:c>
      <x:c r="C37" s="1060" t="str">
        <x:v>Операционный директор</x:v>
      </x:c>
      <x:c r="D37" s="1060" t="str">
        <x:v>План-факт, маржа, возвраты и действия менеджеров видны не в одном контуре</x:v>
      </x:c>
      <x:c r="E37" s="1060" t="str">
        <x:v>Ежедневный экран и очередь отклонений по каналам, точкам и менеджерам</x:v>
      </x:c>
      <x:c r="F37" s="1060" t="str">
        <x:v>P2/P6</x:v>
      </x:c>
      <x:c r="G37" s="1060" t="str">
        <x:v>Новый блок интервью</x:v>
      </x:c>
    </x:row>
    <x:row r="38" ht="54" customHeight="1">
      <x:c r="A38" s="1060" t="str">
        <x:v>BP-34</x:v>
      </x:c>
      <x:c r="B38" s="1060" t="str">
        <x:v>Заказ клиента, резерв, отгрузка и возврат</x:v>
      </x:c>
      <x:c r="C38" s="1060" t="str">
        <x:v>Продажи / склад / финансы</x:v>
      </x:c>
      <x:c r="D38" s="1060" t="str">
        <x:v>Статусы и исключения могут находиться в документах, Excel и чатах</x:v>
      </x:c>
      <x:c r="E38" s="1060" t="str">
        <x:v>Единый жизненный цикл заказа с подтверждением факта продажи и SLA</x:v>
      </x:c>
      <x:c r="F38" s="1060" t="str">
        <x:v>P2/P6</x:v>
      </x:c>
      <x:c r="G38" s="1060" t="str">
        <x:v>Новый блок интервью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adf596d7b7b491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45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1.600000381469727" hidden="0" customHeight="1">
      <x:c r="A1" s="856" t="str">
        <x:v>Принятая целевая архитектура SNAX — по исходной презентации «Форус»</x:v>
      </x:c>
      <x:c r="B1" s="856"/>
      <x:c r="C1" s="856"/>
      <x:c r="D1" s="856"/>
      <x:c r="E1" s="856"/>
      <x:c r="F1" s="856"/>
      <x:c r="G1" s="856"/>
      <x:c r="H1" s="856"/>
      <x:c r="I1" s="856"/>
      <x:c r="J1" s="5"/>
      <x:c r="K1" s="5"/>
      <x:c r="L1" s="5"/>
    </x:row>
    <x:row r="2" ht="15" hidden="0" customHeight="1">
      <x:c r="A2" s="858" t="str">
        <x:v>Источник: SNAX_Архитектура_21-08_восстановлено (1).pptx, 6 слайдов. Факты презентации отделены от проектной интерпретации специализированного сервиса.</x:v>
      </x:c>
      <x:c r="B2" s="858"/>
      <x:c r="C2" s="858"/>
      <x:c r="D2" s="858"/>
      <x:c r="E2" s="858"/>
      <x:c r="F2" s="858"/>
      <x:c r="G2" s="858"/>
      <x:c r="H2" s="858"/>
      <x:c r="I2" s="858"/>
      <x:c r="J2" s="14"/>
      <x:c r="K2" s="14"/>
      <x:c r="L2" s="14"/>
    </x:row>
    <x:row r="3" ht="15" hidden="0" customHeight="1">
      <x:c r="A3" s="1007"/>
      <x:c r="B3" s="1007"/>
      <x:c r="C3" s="1007"/>
      <x:c r="D3" s="1007"/>
      <x:c r="E3" s="1007"/>
      <x:c r="F3" s="1007"/>
      <x:c r="G3" s="1007"/>
      <x:c r="H3" s="1007"/>
      <x:c r="I3" s="1007"/>
    </x:row>
    <x:row r="4" ht="15" hidden="0" customHeight="1">
      <x:c r="A4" s="863" t="str">
        <x:v>1. Старая архитектура — как показано на слайде 2</x:v>
      </x:c>
      <x:c r="B4" s="864"/>
      <x:c r="C4" s="864"/>
      <x:c r="D4" s="864"/>
      <x:c r="E4" s="864"/>
      <x:c r="F4" s="864"/>
      <x:c r="G4" s="864"/>
      <x:c r="H4" s="864"/>
      <x:c r="I4" s="864"/>
      <x:c r="J4" s="292"/>
      <x:c r="K4" s="292"/>
      <x:c r="L4" s="293"/>
    </x:row>
    <x:row r="5" ht="15" hidden="0" customHeight="1">
      <x:c r="A5" s="875" t="str">
        <x:v>Контур</x:v>
      </x:c>
      <x:c r="B5" s="876" t="str">
        <x:v>Компоненты</x:v>
      </x:c>
      <x:c r="C5" s="876" t="str">
        <x:v>Связи</x:v>
      </x:c>
      <x:c r="D5" s="877" t="str">
        <x:v>Проблема / ограничение</x:v>
      </x:c>
      <x:c r="E5" s="1008"/>
      <x:c r="F5" s="1008"/>
      <x:c r="G5" s="1008"/>
      <x:c r="H5" s="1008"/>
      <x:c r="I5" s="1008"/>
      <x:c r="J5" s="295"/>
      <x:c r="K5" s="295"/>
      <x:c r="L5" s="296"/>
    </x:row>
    <x:row r="6" ht="26.399999618530273" hidden="0" customHeight="1">
      <x:c r="A6" s="891" t="str">
        <x:v>СНЭКС</x:v>
      </x:c>
      <x:c r="B6" s="892" t="str">
        <x:v>Собственная УТ, БП, магазины, отдельные кассы Frontol</x:v>
      </x:c>
      <x:c r="C6" s="892" t="str">
        <x:v>УТ → БП; заведующие магазинов работают в УТ через интернет</x:v>
      </x:c>
      <x:c r="D6" s="893" t="str">
        <x:v>Отдельный контур, локальная настройка касс и доработок</x:v>
      </x:c>
      <x:c r="E6" s="1007"/>
      <x:c r="F6" s="1007"/>
      <x:c r="G6" s="1007"/>
      <x:c r="H6" s="1007"/>
      <x:c r="I6" s="1007"/>
    </x:row>
    <x:row r="7" ht="24" hidden="0" customHeight="1">
      <x:c r="A7" s="894" t="str">
        <x:v>СНЭКС СИБИРЬ</x:v>
      </x:c>
      <x:c r="B7" s="895" t="str">
        <x:v>Собственная УТ, БП, магазины, отдельные кассы Frontol</x:v>
      </x:c>
      <x:c r="C7" s="895" t="str">
        <x:v>УТ → БП; аналогичная схема</x:v>
      </x:c>
      <x:c r="D7" s="896" t="str">
        <x:v>Нет единой НСИ, прав, цен и сводной отчётности</x:v>
      </x:c>
      <x:c r="E7" s="1007"/>
      <x:c r="F7" s="1007"/>
      <x:c r="G7" s="1007"/>
      <x:c r="H7" s="1007"/>
      <x:c r="I7" s="1007"/>
    </x:row>
    <x:row r="8" ht="15" hidden="0" customHeight="1">
      <x:c r="A8" s="885" t="str">
        <x:v>Между контурами</x:v>
      </x:c>
      <x:c r="B8" s="886" t="str">
        <x:v>Связь отсутствует</x:v>
      </x:c>
      <x:c r="C8" s="886" t="str">
        <x:v>На схеме показан разрыв</x:v>
      </x:c>
      <x:c r="D8" s="887" t="str">
        <x:v>Управление группой и франшизой не централизовано</x:v>
      </x:c>
      <x:c r="E8" s="1007"/>
      <x:c r="F8" s="1007"/>
      <x:c r="G8" s="1007"/>
      <x:c r="H8" s="1007"/>
      <x:c r="I8" s="1007"/>
    </x:row>
    <x:row r="9" ht="15" hidden="0" customHeight="1">
      <x:c r="A9" s="1009"/>
      <x:c r="B9" s="112"/>
      <x:c r="C9" s="112"/>
      <x:c r="D9" s="1010"/>
      <x:c r="E9" s="1007"/>
      <x:c r="F9" s="1007"/>
      <x:c r="G9" s="1007"/>
      <x:c r="H9" s="1007"/>
      <x:c r="I9" s="1007"/>
    </x:row>
    <x:row r="10" ht="15" hidden="0" customHeight="1">
      <x:c r="A10" s="918" t="str">
        <x:v>2. Целевая архитектура — как показано на слайде 3</x:v>
      </x:c>
      <x:c r="B10" s="919"/>
      <x:c r="C10" s="919"/>
      <x:c r="D10" s="920"/>
      <x:c r="E10" s="867"/>
      <x:c r="F10" s="867"/>
      <x:c r="G10" s="867"/>
      <x:c r="H10" s="867"/>
      <x:c r="I10" s="867"/>
    </x:row>
    <x:row r="11" ht="15" hidden="0" customHeight="1">
      <x:c r="A11" s="933" t="str">
        <x:v>Компонент</x:v>
      </x:c>
      <x:c r="B11" s="934" t="str">
        <x:v>Роль</x:v>
      </x:c>
      <x:c r="C11" s="934" t="str">
        <x:v>Связи</x:v>
      </x:c>
      <x:c r="D11" s="935" t="str">
        <x:v>Обязательный результат</x:v>
      </x:c>
      <x:c r="E11" s="1007"/>
      <x:c r="F11" s="1007"/>
      <x:c r="G11" s="1007"/>
      <x:c r="H11" s="1007"/>
      <x:c r="I11" s="1007"/>
    </x:row>
    <x:row r="12" ht="15" hidden="0" customHeight="1">
      <x:c r="A12" s="853" t="str">
        <x:v>Единая 1С:УТ 11 в УК СНЭКС</x:v>
      </x:c>
      <x:c r="B12" s="936" t="str">
        <x:v>Центральное операционное и master-ядро группы</x:v>
      </x:c>
      <x:c r="C12" s="936" t="str">
        <x:v>Обмен с центральной 1С:Розницей; выгрузка в две БП</x:v>
      </x:c>
      <x:c r="D12" s="854" t="str">
        <x:v>Единая номенклатура, себестоимость, закупки и обеспечение</x:v>
      </x:c>
      <x:c r="E12" s="1007"/>
      <x:c r="F12" s="1007"/>
      <x:c r="G12" s="1007"/>
      <x:c r="H12" s="1007"/>
      <x:c r="I12" s="1007"/>
    </x:row>
    <x:row r="13" ht="21.600000381469727" hidden="0" customHeight="1">
      <x:c r="A13" s="937" t="str">
        <x:v>БП СНЭКС / БП СНЭКС СИБИРЬ</x:v>
      </x:c>
      <x:c r="B13" s="938" t="str">
        <x:v>Регламентированный учёт отдельных юридических контуров</x:v>
      </x:c>
      <x:c r="C13" s="938" t="str">
        <x:v>Получают выгрузку из центральной УТ</x:v>
      </x:c>
      <x:c r="D13" s="939" t="str">
        <x:v>Сверяемый и контролируемый обмен</x:v>
      </x:c>
      <x:c r="E13" s="1007"/>
      <x:c r="F13" s="1007"/>
      <x:c r="G13" s="1007"/>
      <x:c r="H13" s="1007"/>
      <x:c r="I13" s="1007"/>
    </x:row>
    <x:row r="14" ht="26.399999618530273" hidden="0" customHeight="1">
      <x:c r="A14" s="949" t="str">
        <x:v>Центральная 1С:Розница</x:v>
      </x:c>
      <x:c r="B14" s="950" t="str">
        <x:v>Центральный розничный узел</x:v>
      </x:c>
      <x:c r="C14" s="950" t="str">
        <x:v>Обмен с УТ и региональными узлами</x:v>
      </x:c>
      <x:c r="D14" s="951" t="str">
        <x:v>Централизованные настройки, НСИ, цены, скидки и права</x:v>
      </x:c>
      <x:c r="E14" s="1007"/>
      <x:c r="F14" s="1007"/>
      <x:c r="G14" s="1007"/>
      <x:c r="H14" s="1007"/>
      <x:c r="I14" s="1007"/>
    </x:row>
    <x:row r="15" ht="26.399999618530273" hidden="0" customHeight="1">
      <x:c r="A15" s="949" t="str">
        <x:v>Региональные узлы 1С:Розницы</x:v>
      </x:c>
      <x:c r="B15" s="950" t="str">
        <x:v>Агрегируют магазины/франчайзи региона</x:v>
      </x:c>
      <x:c r="C15" s="950" t="str">
        <x:v>Обмен с центральной Розницей и узлами франчайзеров</x:v>
      </x:c>
      <x:c r="D15" s="951" t="str">
        <x:v>Управляемая региональная автономность</x:v>
      </x:c>
      <x:c r="E15" s="1007"/>
      <x:c r="F15" s="1007"/>
      <x:c r="G15" s="1007"/>
      <x:c r="H15" s="1007"/>
      <x:c r="I15" s="1007"/>
    </x:row>
    <x:row r="16" ht="26.399999618530273" hidden="0" customHeight="1">
      <x:c r="A16" s="952" t="str">
        <x:v>Узлы франчайзеров 1С:Розницы</x:v>
      </x:c>
      <x:c r="B16" s="953" t="str">
        <x:v>Локальная работа магазинов франчайзера</x:v>
      </x:c>
      <x:c r="C16" s="954" t="str">
        <x:v>Обмен через региональный узел</x:v>
      </x:c>
      <x:c r="D16" s="833" t="str">
        <x:v>Автономная торговля и контролируемая синхронизация</x:v>
      </x:c>
      <x:c r="E16" s="1011"/>
      <x:c r="F16" s="1012"/>
      <x:c r="G16" s="1013"/>
      <x:c r="H16" s="1007"/>
      <x:c r="I16" s="1014"/>
      <x:c r="J16" s="485"/>
      <x:c r="K16" s="485"/>
      <x:c r="L16" s="486"/>
    </x:row>
    <x:row r="17" ht="15" hidden="0" customHeight="1">
      <x:c r="A17" s="1015"/>
      <x:c r="B17" s="346"/>
      <x:c r="C17" s="1016"/>
      <x:c r="D17" s="1007"/>
      <x:c r="E17" s="1017"/>
      <x:c r="F17" s="417"/>
      <x:c r="G17" s="1018"/>
      <x:c r="H17" s="1007"/>
      <x:c r="I17" s="1019"/>
      <x:c r="J17" s="488"/>
      <x:c r="K17" s="488"/>
      <x:c r="L17" s="489"/>
    </x:row>
    <x:row r="18" ht="15" hidden="0" customHeight="1">
      <x:c r="A18" s="967" t="str">
        <x:v>3. Сравнение архитектур — факты слайдов 4–5</x:v>
      </x:c>
      <x:c r="B18" s="867"/>
      <x:c r="C18" s="968"/>
      <x:c r="D18" s="867"/>
      <x:c r="E18" s="967"/>
      <x:c r="F18" s="867"/>
      <x:c r="G18" s="968"/>
      <x:c r="H18" s="867"/>
      <x:c r="I18" s="967"/>
      <x:c r="J18" s="488"/>
      <x:c r="K18" s="488"/>
      <x:c r="L18" s="489"/>
    </x:row>
    <x:row r="19" ht="15" hidden="0" customHeight="1">
      <x:c r="A19" s="875" t="str">
        <x:v>Принцип</x:v>
      </x:c>
      <x:c r="B19" s="876" t="str">
        <x:v>Старая архитектура</x:v>
      </x:c>
      <x:c r="C19" s="877" t="str">
        <x:v>Целевая архитектура</x:v>
      </x:c>
      <x:c r="D19" s="1007"/>
      <x:c r="E19" s="1020"/>
      <x:c r="F19" s="1021"/>
      <x:c r="G19" s="1022"/>
      <x:c r="H19" s="1007"/>
      <x:c r="I19" s="1023"/>
      <x:c r="J19" s="491"/>
      <x:c r="K19" s="491"/>
      <x:c r="L19" s="492"/>
    </x:row>
    <x:row r="20" ht="15" hidden="0" customHeight="1">
      <x:c r="A20" s="891" t="str">
        <x:v>Автономность магазина</x:v>
      </x:c>
      <x:c r="B20" s="892" t="str">
        <x:v>Frontol; заведующие работают в УТ через интернет</x:v>
      </x:c>
      <x:c r="C20" s="893" t="str">
        <x:v>Локальная база 1С:Розницы</x:v>
      </x:c>
      <x:c r="D20" s="1007"/>
      <x:c r="E20" s="1007"/>
      <x:c r="F20" s="1007"/>
      <x:c r="G20" s="1007"/>
      <x:c r="H20" s="1007"/>
      <x:c r="I20" s="1007"/>
    </x:row>
    <x:row r="21" ht="26.399999618530273" hidden="0" customHeight="1">
      <x:c r="A21" s="949" t="str">
        <x:v>Обновления</x:v>
      </x:c>
      <x:c r="B21" s="950" t="str">
        <x:v>Каждый Frontol настраивается и обновляется отдельно</x:v>
      </x:c>
      <x:c r="C21" s="951" t="str">
        <x:v>Обновляется центральная Розница, доработки мигрируются</x:v>
      </x:c>
      <x:c r="D21" s="1007"/>
      <x:c r="E21" s="1024"/>
      <x:c r="F21" s="1025"/>
      <x:c r="G21" s="1026"/>
      <x:c r="H21" s="1007"/>
      <x:c r="I21" s="1027"/>
      <x:c r="J21" s="343"/>
      <x:c r="K21" s="343"/>
      <x:c r="L21" s="344"/>
    </x:row>
    <x:row r="22" ht="15" hidden="0" customHeight="1">
      <x:c r="A22" s="949" t="str">
        <x:v>Номенклатура</x:v>
      </x:c>
      <x:c r="B22" s="950" t="str">
        <x:v>Единой НСИ у франчайзеров нет</x:v>
      </x:c>
      <x:c r="C22" s="951" t="str">
        <x:v>Единая после перехода на одну УТ</x:v>
      </x:c>
      <x:c r="D22" s="1007"/>
      <x:c r="E22" s="1028"/>
      <x:c r="F22" s="559"/>
      <x:c r="G22" s="1029"/>
      <x:c r="H22" s="1007"/>
      <x:c r="I22" s="1015"/>
      <x:c r="J22" s="346"/>
      <x:c r="K22" s="346"/>
      <x:c r="L22" s="347"/>
    </x:row>
    <x:row r="23" ht="15" hidden="0" customHeight="1">
      <x:c r="A23" s="949" t="str">
        <x:v>Цены и скидки</x:v>
      </x:c>
      <x:c r="B23" s="950" t="str">
        <x:v>Цены задаются раздельно</x:v>
      </x:c>
      <x:c r="C23" s="951" t="str">
        <x:v>Централизованно; заявлена интеграция с MAXMA</x:v>
      </x:c>
      <x:c r="D23" s="1007"/>
      <x:c r="E23" s="1030"/>
      <x:c r="F23" s="1031"/>
      <x:c r="G23" s="1032"/>
      <x:c r="H23" s="1007"/>
      <x:c r="I23" s="1033"/>
      <x:c r="J23" s="349"/>
      <x:c r="K23" s="349"/>
      <x:c r="L23" s="350"/>
    </x:row>
    <x:row r="24" ht="26.399999618530273" hidden="0" customHeight="1">
      <x:c r="A24" s="949" t="str">
        <x:v>Доработки</x:v>
      </x:c>
      <x:c r="B24" s="950" t="str">
        <x:v>Тиражируются не всегда актуальные изменения</x:v>
      </x:c>
      <x:c r="C24" s="951" t="str">
        <x:v>Избирательный перенос в УТ; отдельный анализ для Розницы</x:v>
      </x:c>
      <x:c r="D24" s="1007"/>
      <x:c r="E24" s="1007"/>
      <x:c r="F24" s="1007"/>
      <x:c r="G24" s="1007"/>
      <x:c r="H24" s="1007"/>
      <x:c r="I24" s="1007"/>
    </x:row>
    <x:row r="25" ht="24" hidden="0" customHeight="1">
      <x:c r="A25" s="986" t="str">
        <x:v>Пользователи и права</x:v>
      </x:c>
      <x:c r="B25" s="987" t="str">
        <x:v>Настройка в каждой базе</x:v>
      </x:c>
      <x:c r="C25" s="988" t="str">
        <x:v>Централизованно, ограничения по организациям и магазинам</x:v>
      </x:c>
      <x:c r="D25" s="978"/>
      <x:c r="E25" s="978"/>
      <x:c r="F25" s="978"/>
      <x:c r="G25" s="978"/>
      <x:c r="H25" s="978"/>
      <x:c r="I25" s="978"/>
      <x:c r="J25" s="628"/>
      <x:c r="K25" s="628"/>
      <x:c r="L25" s="629"/>
    </x:row>
    <x:row r="26" ht="15" hidden="0" customHeight="1">
      <x:c r="A26" s="989" t="str">
        <x:v>Отчётность</x:v>
      </x:c>
      <x:c r="B26" s="990" t="str">
        <x:v>Сводной отчётности нет</x:v>
      </x:c>
      <x:c r="C26" s="991" t="str">
        <x:v>Группа, регионы и франчайзеры</x:v>
      </x:c>
      <x:c r="D26" s="631"/>
      <x:c r="E26" s="631"/>
      <x:c r="F26" s="631"/>
      <x:c r="G26" s="631"/>
      <x:c r="H26" s="631"/>
      <x:c r="I26" s="631"/>
      <x:c r="J26" s="631"/>
      <x:c r="K26" s="631"/>
      <x:c r="L26" s="632"/>
    </x:row>
    <x:row r="27" ht="15" hidden="0" customHeight="1">
      <x:c r="A27" s="992" t="str">
        <x:v>Запасы</x:v>
      </x:c>
      <x:c r="B27" s="993" t="str">
        <x:v>Нет управления по всей франшизе</x:v>
      </x:c>
      <x:c r="C27" s="994" t="str">
        <x:v>Анализ и обеспечение с учётом всех магазинов</x:v>
      </x:c>
      <x:c r="D27" s="984"/>
      <x:c r="E27" s="984"/>
      <x:c r="F27" s="984"/>
      <x:c r="G27" s="984"/>
      <x:c r="H27" s="984"/>
      <x:c r="I27" s="984"/>
      <x:c r="J27" s="634"/>
      <x:c r="K27" s="634"/>
      <x:c r="L27" s="635"/>
    </x:row>
    <x:row r="28" ht="15" hidden="0" customHeight="1">
      <x:c r="A28" s="949" t="str">
        <x:v>Себестоимость</x:v>
      </x:c>
      <x:c r="B28" s="950" t="str">
        <x:v>Рассчитывается в УТ</x:v>
      </x:c>
      <x:c r="C28" s="951" t="str">
        <x:v>Сохраняется расчёт в единой УТ</x:v>
      </x:c>
      <x:c r="D28" s="1007"/>
      <x:c r="E28" s="1007"/>
      <x:c r="F28" s="1007"/>
      <x:c r="G28" s="1007"/>
      <x:c r="H28" s="1007"/>
      <x:c r="I28" s="1007"/>
    </x:row>
    <x:row r="29" ht="15" hidden="0" customHeight="1">
      <x:c r="A29" s="831" t="str">
        <x:v>Количество обменов</x:v>
      </x:c>
      <x:c r="B29" s="832" t="str">
        <x:v>БП–УТ–Frontol</x:v>
      </x:c>
      <x:c r="C29" s="833" t="str">
        <x:v>БП–УТ–Розница–КСО; требуется мониторинг</x:v>
      </x:c>
      <x:c r="D29" s="1007"/>
      <x:c r="E29" s="1007"/>
      <x:c r="F29" s="1007"/>
      <x:c r="G29" s="1007"/>
      <x:c r="H29" s="1007"/>
      <x:c r="I29" s="1007"/>
    </x:row>
    <x:row r="30" ht="15" hidden="0" customHeight="1">
      <x:c r="A30" s="1007"/>
      <x:c r="B30" s="1007"/>
      <x:c r="C30" s="1007"/>
      <x:c r="D30" s="1007"/>
      <x:c r="E30" s="1007"/>
      <x:c r="F30" s="1007"/>
      <x:c r="G30" s="1007"/>
      <x:c r="H30" s="1007"/>
      <x:c r="I30" s="1007"/>
    </x:row>
    <x:row r="31" ht="15" hidden="0" customHeight="1">
      <x:c r="A31" s="867" t="str">
        <x:v>4. Проектная интеграция с сервисом нормализации — интерпретация, требующая ADR</x:v>
      </x:c>
      <x:c r="B31" s="867"/>
      <x:c r="C31" s="867"/>
      <x:c r="D31" s="867"/>
      <x:c r="E31" s="867"/>
      <x:c r="F31" s="867"/>
      <x:c r="G31" s="867"/>
      <x:c r="H31" s="867"/>
      <x:c r="I31" s="867"/>
    </x:row>
    <x:row r="32" ht="15" hidden="0" customHeight="1">
      <x:c r="A32" s="875" t="str">
        <x:v>Компонент</x:v>
      </x:c>
      <x:c r="B32" s="876" t="str">
        <x:v>Размещение в общей архитектуре</x:v>
      </x:c>
      <x:c r="C32" s="876" t="str">
        <x:v>Разрешённая ответственность</x:v>
      </x:c>
      <x:c r="D32" s="877" t="str">
        <x:v>Запрет / контроль</x:v>
      </x:c>
      <x:c r="E32" s="1007"/>
      <x:c r="F32" s="1007"/>
      <x:c r="G32" s="1007"/>
      <x:c r="H32" s="1007"/>
      <x:c r="I32" s="1007"/>
    </x:row>
    <x:row r="33" ht="26.399999618530273" hidden="0" customHeight="1">
      <x:c r="A33" s="891" t="str">
        <x:v>Сервис нормализации файлов</x:v>
      </x:c>
      <x:c r="B33" s="892" t="str">
        <x:v>Спутниковый контур перед центральной УТ</x:v>
      </x:c>
      <x:c r="C33" s="892" t="str">
        <x:v>Безопасное чтение, профили, нормализация, DQ, канонический пакет</x:v>
      </x:c>
      <x:c r="D33" s="893" t="str">
        <x:v>Не является master НСИ и не подключается к региональным/франчайзинговым узлам напрямую</x:v>
      </x:c>
      <x:c r="E33" s="1007"/>
      <x:c r="F33" s="1007"/>
      <x:c r="G33" s="1007"/>
      <x:c r="H33" s="1007"/>
      <x:c r="I33" s="1007"/>
    </x:row>
    <x:row r="34" ht="26.399999618530273" hidden="0" customHeight="1">
      <x:c r="A34" s="949" t="str">
        <x:v>Staging/API центральной УТ</x:v>
      </x:c>
      <x:c r="B34" s="950" t="str">
        <x:v>Единственная точка бизнес-применения внешнего пакета</x:v>
      </x:c>
      <x:c r="C34" s="950" t="str">
        <x:v>Проверка schema/digest/idempotency, matching и решения КМ</x:v>
      </x:c>
      <x:c r="D34" s="951" t="str">
        <x:v>Нет прямой записи во внутренние таблицы/регистры в обход staging</x:v>
      </x:c>
      <x:c r="E34" s="1007"/>
      <x:c r="F34" s="1007"/>
      <x:c r="G34" s="1007"/>
      <x:c r="H34" s="1007"/>
      <x:c r="I34" s="1007"/>
    </x:row>
    <x:row r="35" ht="26.399999618530273" hidden="0" customHeight="1">
      <x:c r="A35" s="949" t="str">
        <x:v>1С:Розница и узлы</x:v>
      </x:c>
      <x:c r="B35" s="950" t="str">
        <x:v>Получают утверждённые данные через 1С-обмены</x:v>
      </x:c>
      <x:c r="C35" s="950" t="str">
        <x:v>Продажи, магазинная автономность, локальные операции</x:v>
      </x:c>
      <x:c r="D35" s="951" t="str">
        <x:v>Не принимают сырой поставщицкий файл как master-источник</x:v>
      </x:c>
      <x:c r="E35" s="1007"/>
      <x:c r="F35" s="1007"/>
      <x:c r="G35" s="1007"/>
      <x:c r="H35" s="1007"/>
      <x:c r="I35" s="1007"/>
    </x:row>
    <x:row r="36" ht="26.399999618530273" hidden="0" customHeight="1">
      <x:c r="A36" s="831" t="str">
        <x:v>BI/DWH</x:v>
      </x:c>
      <x:c r="B36" s="832" t="str">
        <x:v>Читает сверенные данные из центральных контуров</x:v>
      </x:c>
      <x:c r="C36" s="832" t="str">
        <x:v>Сводные показатели, регионы, франчайзи, DQ и drill-down</x:v>
      </x:c>
      <x:c r="D36" s="833" t="str">
        <x:v>Не исправляет НСИ/документы и не подменяет мониторинг обменов</x:v>
      </x:c>
      <x:c r="E36" s="1007"/>
      <x:c r="F36" s="1007"/>
      <x:c r="G36" s="1007"/>
      <x:c r="H36" s="1007"/>
      <x:c r="I36" s="1007"/>
    </x:row>
    <x:row r="37" ht="15" hidden="0" customHeight="1">
      <x:c r="A37" s="1007"/>
      <x:c r="B37" s="1007"/>
      <x:c r="C37" s="1007"/>
      <x:c r="D37" s="1007"/>
      <x:c r="E37" s="1007"/>
      <x:c r="F37" s="1007"/>
      <x:c r="G37" s="1007"/>
      <x:c r="H37" s="1007"/>
      <x:c r="I37" s="1007"/>
    </x:row>
    <x:row r="38" ht="15" hidden="0" customHeight="1">
      <x:c r="A38" s="867" t="str">
        <x:v>5. Решения, обязательные до G0/G2</x:v>
      </x:c>
      <x:c r="B38" s="867"/>
      <x:c r="C38" s="867"/>
      <x:c r="D38" s="867"/>
      <x:c r="E38" s="867"/>
      <x:c r="F38" s="867"/>
      <x:c r="G38" s="867"/>
      <x:c r="H38" s="867"/>
      <x:c r="I38" s="867"/>
    </x:row>
    <x:row r="39" ht="15" hidden="0" customHeight="1">
      <x:c r="A39" s="875" t="str">
        <x:v>ID</x:v>
      </x:c>
      <x:c r="B39" s="876" t="str">
        <x:v>Решение</x:v>
      </x:c>
      <x:c r="C39" s="877" t="str">
        <x:v>Почему блокирует</x:v>
      </x:c>
      <x:c r="D39" s="1007"/>
      <x:c r="E39" s="1007"/>
      <x:c r="F39" s="1007"/>
      <x:c r="G39" s="1007"/>
      <x:c r="H39" s="1007"/>
      <x:c r="I39" s="1007"/>
    </x:row>
    <x:row r="40" ht="26.399999618530273" hidden="0" customHeight="1">
      <x:c r="A40" s="891" t="str">
        <x:v>D-31</x:v>
      </x:c>
      <x:c r="B40" s="892" t="str">
        <x:v>Зафиксировать единую схему «Форус» и положение сервиса нормализации</x:v>
      </x:c>
      <x:c r="C40" s="893" t="str">
        <x:v>Иначе возникнут две конкурирующие архитектуры</x:v>
      </x:c>
      <x:c r="D40" s="1007"/>
      <x:c r="E40" s="1007"/>
      <x:c r="F40" s="1007"/>
      <x:c r="G40" s="1007"/>
      <x:c r="H40" s="1007"/>
      <x:c r="I40" s="1007"/>
    </x:row>
    <x:row r="41" ht="26.399999618530273" hidden="0" customHeight="1">
      <x:c r="A41" s="949" t="str">
        <x:v>D-32</x:v>
      </x:c>
      <x:c r="B41" s="950" t="str">
        <x:v>Утвердить единую центральную УТ и миграцию контуров СНЭКС/СИБИРЬ</x:v>
      </x:c>
      <x:c r="C41" s="951" t="str">
        <x:v>Определяет master НСИ, документы и себестоимость</x:v>
      </x:c>
      <x:c r="D41" s="1007"/>
      <x:c r="E41" s="1007"/>
      <x:c r="F41" s="1007"/>
      <x:c r="G41" s="1007"/>
      <x:c r="H41" s="1007"/>
      <x:c r="I41" s="1007"/>
    </x:row>
    <x:row r="42" ht="26.399999618530273" hidden="0" customHeight="1">
      <x:c r="A42" s="949" t="str">
        <x:v>D-33</x:v>
      </x:c>
      <x:c r="B42" s="950" t="str">
        <x:v>Карта центральных, региональных и франчайзинговых узлов Розницы</x:v>
      </x:c>
      <x:c r="C42" s="951" t="str">
        <x:v>Определяет обмены, права, магазины и rollout</x:v>
      </x:c>
      <x:c r="D42" s="1007"/>
      <x:c r="E42" s="1007"/>
      <x:c r="F42" s="1007"/>
      <x:c r="G42" s="1007"/>
      <x:c r="H42" s="1007"/>
      <x:c r="I42" s="1007"/>
    </x:row>
    <x:row r="43" ht="26.399999618530273" hidden="0" customHeight="1">
      <x:c r="A43" s="949" t="str">
        <x:v>D-35</x:v>
      </x:c>
      <x:c r="B43" s="950" t="str">
        <x:v>Каталог и мониторинг всех обменов БП–УТ–Розница–КСО</x:v>
      </x:c>
      <x:c r="C43" s="951" t="str">
        <x:v>Без мониторинга растёт риск молчаливой потери документов</x:v>
      </x:c>
      <x:c r="D43" s="1007"/>
      <x:c r="E43" s="1007"/>
      <x:c r="F43" s="1007"/>
      <x:c r="G43" s="1007"/>
      <x:c r="H43" s="1007"/>
      <x:c r="I43" s="1007"/>
    </x:row>
    <x:row r="44" ht="26.399999618530273" hidden="0" customHeight="1">
      <x:c r="A44" s="949" t="str">
        <x:v>D-37</x:v>
      </x:c>
      <x:c r="B44" s="950" t="str">
        <x:v>Disposition matrix 14 расширений</x:v>
      </x:c>
      <x:c r="C44" s="951" t="str">
        <x:v>Нельзя безопасно обновлять/мигрировать неизвестный код и данные</x:v>
      </x:c>
      <x:c r="D44" s="1007"/>
      <x:c r="E44" s="1007"/>
      <x:c r="F44" s="1007"/>
      <x:c r="G44" s="1007"/>
      <x:c r="H44" s="1007"/>
      <x:c r="I44" s="1007"/>
    </x:row>
    <x:row r="45" ht="26.399999618530273" hidden="0" customHeight="1">
      <x:c r="A45" s="831" t="str">
        <x:v>D-40</x:v>
      </x:c>
      <x:c r="B45" s="832" t="str">
        <x:v>Целевая версия платформы/конфигураций и compatibility matrix</x:v>
      </x:c>
      <x:c r="C45" s="833" t="str">
        <x:v>Режимы расширений различаются от 8.3.10 до 8.3.24</x:v>
      </x:c>
      <x:c r="D45" s="1007"/>
      <x:c r="E45" s="1007"/>
      <x:c r="F45" s="1007"/>
      <x:c r="G45" s="1007"/>
      <x:c r="H45" s="1007"/>
      <x:c r="I45" s="1007"/>
    </x:row>
    <x:row r="46" ht="15" hidden="0" customHeight="1">
      <x:c r="A46" s="1007"/>
      <x:c r="B46" s="1007"/>
      <x:c r="C46" s="1007"/>
      <x:c r="D46" s="1007"/>
      <x:c r="E46" s="1007"/>
      <x:c r="F46" s="1007"/>
      <x:c r="G46" s="1007"/>
      <x:c r="H46" s="1007"/>
      <x:c r="I46" s="1007"/>
    </x:row>
    <x:row r="47" ht="15" hidden="0" customHeight="1">
      <x:c r="A47" s="1007"/>
      <x:c r="B47" s="1007"/>
      <x:c r="C47" s="1007"/>
      <x:c r="D47" s="1007"/>
      <x:c r="E47" s="1007"/>
      <x:c r="F47" s="1007"/>
      <x:c r="G47" s="1007"/>
      <x:c r="H47" s="1007"/>
      <x:c r="I47" s="1007"/>
    </x:row>
    <x:row r="48" ht="15" hidden="0" customHeight="1">
      <x:c r="A48" s="1007"/>
      <x:c r="B48" s="1007"/>
      <x:c r="C48" s="1007"/>
      <x:c r="D48" s="1007"/>
      <x:c r="E48" s="1007"/>
      <x:c r="F48" s="1007"/>
      <x:c r="G48" s="1007"/>
      <x:c r="H48" s="1007"/>
      <x:c r="I48" s="1007"/>
    </x:row>
    <x:row r="49" ht="15" hidden="0" customHeight="1">
      <x:c r="A49" s="1007"/>
      <x:c r="B49" s="1007"/>
      <x:c r="C49" s="1007"/>
      <x:c r="D49" s="1007"/>
      <x:c r="E49" s="1007"/>
      <x:c r="F49" s="1007"/>
      <x:c r="G49" s="1007"/>
      <x:c r="H49" s="1007"/>
      <x:c r="I49" s="1007"/>
    </x:row>
    <x:row r="50" ht="15" hidden="0" customHeight="1">
      <x:c r="A50" s="1007"/>
      <x:c r="B50" s="1007"/>
      <x:c r="C50" s="1007"/>
      <x:c r="D50" s="1007"/>
      <x:c r="E50" s="1007"/>
      <x:c r="F50" s="1007"/>
      <x:c r="G50" s="1007"/>
      <x:c r="H50" s="1007"/>
      <x:c r="I50" s="1007"/>
    </x:row>
  </x:sheetData>
  <x:mergeCells>
    <x:mergeCell ref="A1:I1"/>
    <x:mergeCell ref="A2:I2"/>
    <x:mergeCell ref="A4:I4"/>
    <x:mergeCell ref="A10:I10"/>
    <x:mergeCell ref="A18:I18"/>
    <x:mergeCell ref="A31:I31"/>
    <x:mergeCell ref="A38:I3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9" hidden="0" customWidth="1"/>
    <x:col min="4" max="4" width="9" hidden="0" customWidth="1"/>
    <x:col min="5" max="5" width="9" hidden="0" customWidth="1"/>
    <x:col min="6" max="6" width="58" hidden="0" customWidth="1"/>
    <x:col min="7" max="7" width="28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  <x:col min="21" max="21" width="4" hidden="0" customWidth="1"/>
    <x:col min="22" max="22" width="4" hidden="0" customWidth="1"/>
    <x:col min="23" max="23" width="4" hidden="0" customWidth="1"/>
    <x:col min="24" max="24" width="4" hidden="0" customWidth="1"/>
    <x:col min="25" max="25" width="4" hidden="0" customWidth="1"/>
    <x:col min="26" max="26" width="4" hidden="0" customWidth="1"/>
    <x:col min="27" max="27" width="4" hidden="0" customWidth="1"/>
    <x:col min="28" max="28" width="4" hidden="0" customWidth="1"/>
    <x:col min="29" max="29" width="4" hidden="0" customWidth="1"/>
    <x:col min="30" max="30" width="4" hidden="0" customWidth="1"/>
    <x:col min="31" max="31" width="4" hidden="0" customWidth="1"/>
    <x:col min="32" max="32" width="4" hidden="0" customWidth="1"/>
    <x:col min="33" max="33" width="4" hidden="0" customWidth="1"/>
    <x:col min="34" max="34" width="4" hidden="0" customWidth="1"/>
    <x:col min="35" max="35" width="4" hidden="0" customWidth="1"/>
    <x:col min="36" max="36" width="4" hidden="0" customWidth="1"/>
    <x:col min="37" max="37" width="4" hidden="0" customWidth="1"/>
    <x:col min="38" max="38" width="4" hidden="0" customWidth="1"/>
    <x:col min="39" max="39" width="4" hidden="0" customWidth="1"/>
    <x:col min="40" max="40" width="4" hidden="0" customWidth="1"/>
    <x:col min="41" max="41" width="4" hidden="0" customWidth="1"/>
  </x:cols>
  <x:sheetData>
    <x:row r="1" ht="32" customHeight="1">
      <x:c r="A1" s="5" t="str">
        <x:v>Дорожная карта реализации — 34 недели от T0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</x:row>
    <x:row r="2" ht="28" customHeight="1">
      <x:c r="A2" s="14" t="str">
        <x:v>34 недели от T0; в P0–P3 добавлены архитектурная топология «Форус», портфель 14 расширений и мониторинг узлов/обменов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</x:row>
    <x:row r="4" ht="32" customHeight="1">
      <x:c r="A4" s="73" t="str">
        <x:v>Этап</x:v>
      </x:c>
      <x:c r="B4" s="74" t="str">
        <x:v>Название</x:v>
      </x:c>
      <x:c r="C4" s="74" t="str">
        <x:v>Начало</x:v>
      </x:c>
      <x:c r="D4" s="74" t="str">
        <x:v>Конец</x:v>
      </x:c>
      <x:c r="E4" s="74" t="str">
        <x:v>Gate</x:v>
      </x:c>
      <x:c r="F4" s="74" t="str">
        <x:v>Результат</x:v>
      </x:c>
      <x:c r="G4" s="74" t="str">
        <x:v>Владелец</x:v>
      </x:c>
      <x:c r="H4" s="74" t="str">
        <x:v>1</x:v>
      </x:c>
      <x:c r="I4" s="74" t="str">
        <x:v>2</x:v>
      </x:c>
      <x:c r="J4" s="74" t="str">
        <x:v>3</x:v>
      </x:c>
      <x:c r="K4" s="74" t="str">
        <x:v>4</x:v>
      </x:c>
      <x:c r="L4" s="74" t="str">
        <x:v>5</x:v>
      </x:c>
      <x:c r="M4" s="74" t="str">
        <x:v>6</x:v>
      </x:c>
      <x:c r="N4" s="74" t="str">
        <x:v>7</x:v>
      </x:c>
      <x:c r="O4" s="74" t="str">
        <x:v>8</x:v>
      </x:c>
      <x:c r="P4" s="74" t="str">
        <x:v>9</x:v>
      </x:c>
      <x:c r="Q4" s="74" t="str">
        <x:v>10</x:v>
      </x:c>
      <x:c r="R4" s="74" t="str">
        <x:v>11</x:v>
      </x:c>
      <x:c r="S4" s="74" t="str">
        <x:v>12</x:v>
      </x:c>
      <x:c r="T4" s="74" t="str">
        <x:v>13</x:v>
      </x:c>
      <x:c r="U4" s="74" t="str">
        <x:v>14</x:v>
      </x:c>
      <x:c r="V4" s="74" t="str">
        <x:v>15</x:v>
      </x:c>
      <x:c r="W4" s="74" t="str">
        <x:v>16</x:v>
      </x:c>
      <x:c r="X4" s="74" t="str">
        <x:v>17</x:v>
      </x:c>
      <x:c r="Y4" s="74" t="str">
        <x:v>18</x:v>
      </x:c>
      <x:c r="Z4" s="74" t="str">
        <x:v>19</x:v>
      </x:c>
      <x:c r="AA4" s="74" t="str">
        <x:v>20</x:v>
      </x:c>
      <x:c r="AB4" s="74" t="str">
        <x:v>21</x:v>
      </x:c>
      <x:c r="AC4" s="74" t="str">
        <x:v>22</x:v>
      </x:c>
      <x:c r="AD4" s="74" t="str">
        <x:v>23</x:v>
      </x:c>
      <x:c r="AE4" s="74" t="str">
        <x:v>24</x:v>
      </x:c>
      <x:c r="AF4" s="74" t="str">
        <x:v>25</x:v>
      </x:c>
      <x:c r="AG4" s="74" t="str">
        <x:v>26</x:v>
      </x:c>
      <x:c r="AH4" s="74" t="str">
        <x:v>27</x:v>
      </x:c>
      <x:c r="AI4" s="74" t="str">
        <x:v>28</x:v>
      </x:c>
      <x:c r="AJ4" s="74" t="str">
        <x:v>29</x:v>
      </x:c>
      <x:c r="AK4" s="74" t="str">
        <x:v>30</x:v>
      </x:c>
      <x:c r="AL4" s="74" t="str">
        <x:v>31</x:v>
      </x:c>
      <x:c r="AM4" s="74" t="str">
        <x:v>32</x:v>
      </x:c>
      <x:c r="AN4" s="74" t="str">
        <x:v>33</x:v>
      </x:c>
      <x:c r="AO4" s="75" t="str">
        <x:v>34</x:v>
      </x:c>
    </x:row>
    <x:row r="5" ht="40" customHeight="1">
      <x:c r="A5" s="693" t="str">
        <x:v>P0</x:v>
      </x:c>
      <x:c r="B5" s="679" t="str">
        <x:v>Мобилизация и возврат контроля</x:v>
      </x:c>
      <x:c r="C5" s="679" t="n">
        <x:v>1</x:v>
      </x:c>
      <x:c r="D5" s="679" t="n">
        <x:v>2</x:v>
      </x:c>
      <x:c r="E5" s="679" t="str">
        <x:v>G0</x:v>
      </x:c>
      <x:c r="F5" s="679" t="str">
        <x:v>Утверждены точная схема «Форус», карта баз/узлов, 14 паспортов расширений, доступы, активы и единый backlog</x:v>
      </x:c>
      <x:c r="G5" s="680" t="str">
        <x:v>Координатор / спонсор / ИТ</x:v>
      </x:c>
      <x:c r="H5" s="700" t="str">
        <x:f>IF(AND(H$4&gt;=$C5,H$4&lt;=$D5),"■","")</x:f>
        <x:v>■</x:v>
      </x:c>
      <x:c r="I5" s="700" t="str">
        <x:f>IF(AND(I$4&gt;=$C5,I$4&lt;=$D5),"■","")</x:f>
        <x:v>■</x:v>
      </x:c>
      <x:c r="J5" s="700" t="str">
        <x:f>IF(AND(J$4&gt;=$C5,J$4&lt;=$D5),"■","")</x:f>
      </x:c>
      <x:c r="K5" s="700" t="str">
        <x:f>IF(AND(K$4&gt;=$C5,K$4&lt;=$D5),"■","")</x:f>
      </x:c>
      <x:c r="L5" s="700" t="str">
        <x:f>IF(AND(L$4&gt;=$C5,L$4&lt;=$D5),"■","")</x:f>
      </x:c>
      <x:c r="M5" s="700" t="str">
        <x:f>IF(AND(M$4&gt;=$C5,M$4&lt;=$D5),"■","")</x:f>
      </x:c>
      <x:c r="N5" s="700" t="str">
        <x:f>IF(AND(N$4&gt;=$C5,N$4&lt;=$D5),"■","")</x:f>
      </x:c>
      <x:c r="O5" s="700" t="str">
        <x:f>IF(AND(O$4&gt;=$C5,O$4&lt;=$D5),"■","")</x:f>
      </x:c>
      <x:c r="P5" s="700" t="str">
        <x:f>IF(AND(P$4&gt;=$C5,P$4&lt;=$D5),"■","")</x:f>
      </x:c>
      <x:c r="Q5" s="700" t="str">
        <x:f>IF(AND(Q$4&gt;=$C5,Q$4&lt;=$D5),"■","")</x:f>
      </x:c>
      <x:c r="R5" s="700" t="str">
        <x:f>IF(AND(R$4&gt;=$C5,R$4&lt;=$D5),"■","")</x:f>
      </x:c>
      <x:c r="S5" s="700" t="str">
        <x:f>IF(AND(S$4&gt;=$C5,S$4&lt;=$D5),"■","")</x:f>
      </x:c>
      <x:c r="T5" s="700" t="str">
        <x:f>IF(AND(T$4&gt;=$C5,T$4&lt;=$D5),"■","")</x:f>
      </x:c>
      <x:c r="U5" s="700" t="str">
        <x:f>IF(AND(U$4&gt;=$C5,U$4&lt;=$D5),"■","")</x:f>
      </x:c>
      <x:c r="V5" s="700" t="str">
        <x:f>IF(AND(V$4&gt;=$C5,V$4&lt;=$D5),"■","")</x:f>
      </x:c>
      <x:c r="W5" s="700" t="str">
        <x:f>IF(AND(W$4&gt;=$C5,W$4&lt;=$D5),"■","")</x:f>
      </x:c>
      <x:c r="X5" s="700" t="str">
        <x:f>IF(AND(X$4&gt;=$C5,X$4&lt;=$D5),"■","")</x:f>
      </x:c>
      <x:c r="Y5" s="700" t="str">
        <x:f>IF(AND(Y$4&gt;=$C5,Y$4&lt;=$D5),"■","")</x:f>
      </x:c>
      <x:c r="Z5" s="700" t="str">
        <x:f>IF(AND(Z$4&gt;=$C5,Z$4&lt;=$D5),"■","")</x:f>
      </x:c>
      <x:c r="AA5" s="700" t="str">
        <x:f>IF(AND(AA$4&gt;=$C5,AA$4&lt;=$D5),"■","")</x:f>
      </x:c>
      <x:c r="AB5" s="700" t="str">
        <x:f>IF(AND(AB$4&gt;=$C5,AB$4&lt;=$D5),"■","")</x:f>
      </x:c>
      <x:c r="AC5" s="700" t="str">
        <x:f>IF(AND(AC$4&gt;=$C5,AC$4&lt;=$D5),"■","")</x:f>
      </x:c>
      <x:c r="AD5" s="700" t="str">
        <x:f>IF(AND(AD$4&gt;=$C5,AD$4&lt;=$D5),"■","")</x:f>
      </x:c>
      <x:c r="AE5" s="700" t="str">
        <x:f>IF(AND(AE$4&gt;=$C5,AE$4&lt;=$D5),"■","")</x:f>
      </x:c>
      <x:c r="AF5" s="700" t="str">
        <x:f>IF(AND(AF$4&gt;=$C5,AF$4&lt;=$D5),"■","")</x:f>
      </x:c>
      <x:c r="AG5" s="700" t="str">
        <x:f>IF(AND(AG$4&gt;=$C5,AG$4&lt;=$D5),"■","")</x:f>
      </x:c>
      <x:c r="AH5" s="700" t="str">
        <x:f>IF(AND(AH$4&gt;=$C5,AH$4&lt;=$D5),"■","")</x:f>
      </x:c>
      <x:c r="AI5" s="700" t="str">
        <x:f>IF(AND(AI$4&gt;=$C5,AI$4&lt;=$D5),"■","")</x:f>
      </x:c>
      <x:c r="AJ5" s="700" t="str">
        <x:f>IF(AND(AJ$4&gt;=$C5,AJ$4&lt;=$D5),"■","")</x:f>
      </x:c>
      <x:c r="AK5" s="700" t="str">
        <x:f>IF(AND(AK$4&gt;=$C5,AK$4&lt;=$D5),"■","")</x:f>
      </x:c>
      <x:c r="AL5" s="700" t="str">
        <x:f>IF(AND(AL$4&gt;=$C5,AL$4&lt;=$D5),"■","")</x:f>
      </x:c>
      <x:c r="AM5" s="700" t="str">
        <x:f>IF(AND(AM$4&gt;=$C5,AM$4&lt;=$D5),"■","")</x:f>
      </x:c>
      <x:c r="AN5" s="700" t="str">
        <x:f>IF(AND(AN$4&gt;=$C5,AN$4&lt;=$D5),"■","")</x:f>
      </x:c>
      <x:c r="AO5" s="700" t="str">
        <x:f>IF(AND(AO$4&gt;=$C5,AO$4&lt;=$D5),"■","")</x:f>
      </x:c>
    </x:row>
    <x:row r="6" ht="40" customHeight="1">
      <x:c r="A6" s="707" t="str">
        <x:v>P1</x:v>
      </x:c>
      <x:c r="B6" s="679" t="str">
        <x:v>Стабилизация данных и обменов</x:v>
      </x:c>
      <x:c r="C6" s="679" t="n">
        <x:v>1</x:v>
      </x:c>
      <x:c r="D6" s="679" t="n">
        <x:v>6</x:v>
      </x:c>
      <x:c r="E6" s="679" t="str">
        <x:v>G1</x:v>
      </x:c>
      <x:c r="F6" s="679" t="str">
        <x:v>Контрольный магазин/день и обмен БП–УТ–Розница проходят сверку; сформирован каталог ошибок и monitoring baseline</x:v>
      </x:c>
      <x:c r="G6" s="680" t="str">
        <x:v>ИТ + финансы + розница</x:v>
      </x:c>
      <x:c r="H6" s="700" t="str">
        <x:f>IF(AND(H$4&gt;=$C6,H$4&lt;=$D6),"■","")</x:f>
        <x:v>■</x:v>
      </x:c>
      <x:c r="I6" s="700" t="str">
        <x:f>IF(AND(I$4&gt;=$C6,I$4&lt;=$D6),"■","")</x:f>
        <x:v>■</x:v>
      </x:c>
      <x:c r="J6" s="700" t="str">
        <x:f>IF(AND(J$4&gt;=$C6,J$4&lt;=$D6),"■","")</x:f>
        <x:v>■</x:v>
      </x:c>
      <x:c r="K6" s="700" t="str">
        <x:f>IF(AND(K$4&gt;=$C6,K$4&lt;=$D6),"■","")</x:f>
        <x:v>■</x:v>
      </x:c>
      <x:c r="L6" s="700" t="str">
        <x:f>IF(AND(L$4&gt;=$C6,L$4&lt;=$D6),"■","")</x:f>
        <x:v>■</x:v>
      </x:c>
      <x:c r="M6" s="700" t="str">
        <x:f>IF(AND(M$4&gt;=$C6,M$4&lt;=$D6),"■","")</x:f>
        <x:v>■</x:v>
      </x:c>
      <x:c r="N6" s="700" t="str">
        <x:f>IF(AND(N$4&gt;=$C6,N$4&lt;=$D6),"■","")</x:f>
      </x:c>
      <x:c r="O6" s="700" t="str">
        <x:f>IF(AND(O$4&gt;=$C6,O$4&lt;=$D6),"■","")</x:f>
      </x:c>
      <x:c r="P6" s="700" t="str">
        <x:f>IF(AND(P$4&gt;=$C6,P$4&lt;=$D6),"■","")</x:f>
      </x:c>
      <x:c r="Q6" s="700" t="str">
        <x:f>IF(AND(Q$4&gt;=$C6,Q$4&lt;=$D6),"■","")</x:f>
      </x:c>
      <x:c r="R6" s="700" t="str">
        <x:f>IF(AND(R$4&gt;=$C6,R$4&lt;=$D6),"■","")</x:f>
      </x:c>
      <x:c r="S6" s="700" t="str">
        <x:f>IF(AND(S$4&gt;=$C6,S$4&lt;=$D6),"■","")</x:f>
      </x:c>
      <x:c r="T6" s="700" t="str">
        <x:f>IF(AND(T$4&gt;=$C6,T$4&lt;=$D6),"■","")</x:f>
      </x:c>
      <x:c r="U6" s="700" t="str">
        <x:f>IF(AND(U$4&gt;=$C6,U$4&lt;=$D6),"■","")</x:f>
      </x:c>
      <x:c r="V6" s="700" t="str">
        <x:f>IF(AND(V$4&gt;=$C6,V$4&lt;=$D6),"■","")</x:f>
      </x:c>
      <x:c r="W6" s="700" t="str">
        <x:f>IF(AND(W$4&gt;=$C6,W$4&lt;=$D6),"■","")</x:f>
      </x:c>
      <x:c r="X6" s="700" t="str">
        <x:f>IF(AND(X$4&gt;=$C6,X$4&lt;=$D6),"■","")</x:f>
      </x:c>
      <x:c r="Y6" s="700" t="str">
        <x:f>IF(AND(Y$4&gt;=$C6,Y$4&lt;=$D6),"■","")</x:f>
      </x:c>
      <x:c r="Z6" s="700" t="str">
        <x:f>IF(AND(Z$4&gt;=$C6,Z$4&lt;=$D6),"■","")</x:f>
      </x:c>
      <x:c r="AA6" s="700" t="str">
        <x:f>IF(AND(AA$4&gt;=$C6,AA$4&lt;=$D6),"■","")</x:f>
      </x:c>
      <x:c r="AB6" s="700" t="str">
        <x:f>IF(AND(AB$4&gt;=$C6,AB$4&lt;=$D6),"■","")</x:f>
      </x:c>
      <x:c r="AC6" s="700" t="str">
        <x:f>IF(AND(AC$4&gt;=$C6,AC$4&lt;=$D6),"■","")</x:f>
      </x:c>
      <x:c r="AD6" s="700" t="str">
        <x:f>IF(AND(AD$4&gt;=$C6,AD$4&lt;=$D6),"■","")</x:f>
      </x:c>
      <x:c r="AE6" s="700" t="str">
        <x:f>IF(AND(AE$4&gt;=$C6,AE$4&lt;=$D6),"■","")</x:f>
      </x:c>
      <x:c r="AF6" s="700" t="str">
        <x:f>IF(AND(AF$4&gt;=$C6,AF$4&lt;=$D6),"■","")</x:f>
      </x:c>
      <x:c r="AG6" s="700" t="str">
        <x:f>IF(AND(AG$4&gt;=$C6,AG$4&lt;=$D6),"■","")</x:f>
      </x:c>
      <x:c r="AH6" s="700" t="str">
        <x:f>IF(AND(AH$4&gt;=$C6,AH$4&lt;=$D6),"■","")</x:f>
      </x:c>
      <x:c r="AI6" s="700" t="str">
        <x:f>IF(AND(AI$4&gt;=$C6,AI$4&lt;=$D6),"■","")</x:f>
      </x:c>
      <x:c r="AJ6" s="700" t="str">
        <x:f>IF(AND(AJ$4&gt;=$C6,AJ$4&lt;=$D6),"■","")</x:f>
      </x:c>
      <x:c r="AK6" s="700" t="str">
        <x:f>IF(AND(AK$4&gt;=$C6,AK$4&lt;=$D6),"■","")</x:f>
      </x:c>
      <x:c r="AL6" s="700" t="str">
        <x:f>IF(AND(AL$4&gt;=$C6,AL$4&lt;=$D6),"■","")</x:f>
      </x:c>
      <x:c r="AM6" s="700" t="str">
        <x:f>IF(AND(AM$4&gt;=$C6,AM$4&lt;=$D6),"■","")</x:f>
      </x:c>
      <x:c r="AN6" s="700" t="str">
        <x:f>IF(AND(AN$4&gt;=$C6,AN$4&lt;=$D6),"■","")</x:f>
      </x:c>
      <x:c r="AO6" s="700" t="str">
        <x:f>IF(AND(AO$4&gt;=$C6,AO$4&lt;=$D6),"■","")</x:f>
      </x:c>
    </x:row>
    <x:row r="7" ht="40" customHeight="1">
      <x:c r="A7" s="715" t="str">
        <x:v>P2</x:v>
      </x:c>
      <x:c r="B7" s="679" t="str">
        <x:v>Методология, НСИ и владельцы</x:v>
      </x:c>
      <x:c r="C7" s="679" t="n">
        <x:v>3</x:v>
      </x:c>
      <x:c r="D7" s="679" t="n">
        <x:v>10</x:v>
      </x:c>
      <x:c r="E7" s="679" t="str">
        <x:v>G2</x:v>
      </x:c>
      <x:c r="F7" s="679" t="str">
        <x:v>Утверждены НСИ, формулы, роли, MAXMA/скидки и disposition matrix расширений</x:v>
      </x:c>
      <x:c r="G7" s="680" t="str">
        <x:v>Бизнес-владельцы + финансы</x:v>
      </x:c>
      <x:c r="H7" s="700" t="str">
        <x:f>IF(AND(H$4&gt;=$C7,H$4&lt;=$D7),"■","")</x:f>
      </x:c>
      <x:c r="I7" s="700" t="str">
        <x:f>IF(AND(I$4&gt;=$C7,I$4&lt;=$D7),"■","")</x:f>
      </x:c>
      <x:c r="J7" s="700" t="str">
        <x:f>IF(AND(J$4&gt;=$C7,J$4&lt;=$D7),"■","")</x:f>
        <x:v>■</x:v>
      </x:c>
      <x:c r="K7" s="700" t="str">
        <x:f>IF(AND(K$4&gt;=$C7,K$4&lt;=$D7),"■","")</x:f>
        <x:v>■</x:v>
      </x:c>
      <x:c r="L7" s="700" t="str">
        <x:f>IF(AND(L$4&gt;=$C7,L$4&lt;=$D7),"■","")</x:f>
        <x:v>■</x:v>
      </x:c>
      <x:c r="M7" s="700" t="str">
        <x:f>IF(AND(M$4&gt;=$C7,M$4&lt;=$D7),"■","")</x:f>
        <x:v>■</x:v>
      </x:c>
      <x:c r="N7" s="700" t="str">
        <x:f>IF(AND(N$4&gt;=$C7,N$4&lt;=$D7),"■","")</x:f>
        <x:v>■</x:v>
      </x:c>
      <x:c r="O7" s="700" t="str">
        <x:f>IF(AND(O$4&gt;=$C7,O$4&lt;=$D7),"■","")</x:f>
        <x:v>■</x:v>
      </x:c>
      <x:c r="P7" s="700" t="str">
        <x:f>IF(AND(P$4&gt;=$C7,P$4&lt;=$D7),"■","")</x:f>
        <x:v>■</x:v>
      </x:c>
      <x:c r="Q7" s="700" t="str">
        <x:f>IF(AND(Q$4&gt;=$C7,Q$4&lt;=$D7),"■","")</x:f>
        <x:v>■</x:v>
      </x:c>
      <x:c r="R7" s="700" t="str">
        <x:f>IF(AND(R$4&gt;=$C7,R$4&lt;=$D7),"■","")</x:f>
      </x:c>
      <x:c r="S7" s="700" t="str">
        <x:f>IF(AND(S$4&gt;=$C7,S$4&lt;=$D7),"■","")</x:f>
      </x:c>
      <x:c r="T7" s="700" t="str">
        <x:f>IF(AND(T$4&gt;=$C7,T$4&lt;=$D7),"■","")</x:f>
      </x:c>
      <x:c r="U7" s="700" t="str">
        <x:f>IF(AND(U$4&gt;=$C7,U$4&lt;=$D7),"■","")</x:f>
      </x:c>
      <x:c r="V7" s="700" t="str">
        <x:f>IF(AND(V$4&gt;=$C7,V$4&lt;=$D7),"■","")</x:f>
      </x:c>
      <x:c r="W7" s="700" t="str">
        <x:f>IF(AND(W$4&gt;=$C7,W$4&lt;=$D7),"■","")</x:f>
      </x:c>
      <x:c r="X7" s="700" t="str">
        <x:f>IF(AND(X$4&gt;=$C7,X$4&lt;=$D7),"■","")</x:f>
      </x:c>
      <x:c r="Y7" s="700" t="str">
        <x:f>IF(AND(Y$4&gt;=$C7,Y$4&lt;=$D7),"■","")</x:f>
      </x:c>
      <x:c r="Z7" s="700" t="str">
        <x:f>IF(AND(Z$4&gt;=$C7,Z$4&lt;=$D7),"■","")</x:f>
      </x:c>
      <x:c r="AA7" s="700" t="str">
        <x:f>IF(AND(AA$4&gt;=$C7,AA$4&lt;=$D7),"■","")</x:f>
      </x:c>
      <x:c r="AB7" s="700" t="str">
        <x:f>IF(AND(AB$4&gt;=$C7,AB$4&lt;=$D7),"■","")</x:f>
      </x:c>
      <x:c r="AC7" s="700" t="str">
        <x:f>IF(AND(AC$4&gt;=$C7,AC$4&lt;=$D7),"■","")</x:f>
      </x:c>
      <x:c r="AD7" s="700" t="str">
        <x:f>IF(AND(AD$4&gt;=$C7,AD$4&lt;=$D7),"■","")</x:f>
      </x:c>
      <x:c r="AE7" s="700" t="str">
        <x:f>IF(AND(AE$4&gt;=$C7,AE$4&lt;=$D7),"■","")</x:f>
      </x:c>
      <x:c r="AF7" s="700" t="str">
        <x:f>IF(AND(AF$4&gt;=$C7,AF$4&lt;=$D7),"■","")</x:f>
      </x:c>
      <x:c r="AG7" s="700" t="str">
        <x:f>IF(AND(AG$4&gt;=$C7,AG$4&lt;=$D7),"■","")</x:f>
      </x:c>
      <x:c r="AH7" s="700" t="str">
        <x:f>IF(AND(AH$4&gt;=$C7,AH$4&lt;=$D7),"■","")</x:f>
      </x:c>
      <x:c r="AI7" s="700" t="str">
        <x:f>IF(AND(AI$4&gt;=$C7,AI$4&lt;=$D7),"■","")</x:f>
      </x:c>
      <x:c r="AJ7" s="700" t="str">
        <x:f>IF(AND(AJ$4&gt;=$C7,AJ$4&lt;=$D7),"■","")</x:f>
      </x:c>
      <x:c r="AK7" s="700" t="str">
        <x:f>IF(AND(AK$4&gt;=$C7,AK$4&lt;=$D7),"■","")</x:f>
      </x:c>
      <x:c r="AL7" s="700" t="str">
        <x:f>IF(AND(AL$4&gt;=$C7,AL$4&lt;=$D7),"■","")</x:f>
      </x:c>
      <x:c r="AM7" s="700" t="str">
        <x:f>IF(AND(AM$4&gt;=$C7,AM$4&lt;=$D7),"■","")</x:f>
      </x:c>
      <x:c r="AN7" s="700" t="str">
        <x:f>IF(AND(AN$4&gt;=$C7,AN$4&lt;=$D7),"■","")</x:f>
      </x:c>
      <x:c r="AO7" s="700" t="str">
        <x:f>IF(AND(AO$4&gt;=$C7,AO$4&lt;=$D7),"■","")</x:f>
      </x:c>
    </x:row>
    <x:row r="8" ht="40" customHeight="1">
      <x:c r="A8" s="723" t="str">
        <x:v>P3</x:v>
      </x:c>
      <x:c r="B8" s="679" t="str">
        <x:v>Технологическая платформа</x:v>
      </x:c>
      <x:c r="C8" s="679" t="n">
        <x:v>3</x:v>
      </x:c>
      <x:c r="D8" s="679" t="n">
        <x:v>18</x:v>
      </x:c>
      <x:c r="E8" s="679" t="str">
        <x:v>G3</x:v>
      </x:c>
      <x:c r="F8" s="679" t="str">
        <x:v>Сервис, контракты, readers/profiles/DQ и целевые интеграции с центральной УТ/Розницей готовы к пилоту</x:v>
      </x:c>
      <x:c r="G8" s="680" t="str">
        <x:v>Технический лидер</x:v>
      </x:c>
      <x:c r="H8" s="700" t="str">
        <x:f>IF(AND(H$4&gt;=$C8,H$4&lt;=$D8),"■","")</x:f>
      </x:c>
      <x:c r="I8" s="700" t="str">
        <x:f>IF(AND(I$4&gt;=$C8,I$4&lt;=$D8),"■","")</x:f>
      </x:c>
      <x:c r="J8" s="700" t="str">
        <x:f>IF(AND(J$4&gt;=$C8,J$4&lt;=$D8),"■","")</x:f>
        <x:v>■</x:v>
      </x:c>
      <x:c r="K8" s="700" t="str">
        <x:f>IF(AND(K$4&gt;=$C8,K$4&lt;=$D8),"■","")</x:f>
        <x:v>■</x:v>
      </x:c>
      <x:c r="L8" s="700" t="str">
        <x:f>IF(AND(L$4&gt;=$C8,L$4&lt;=$D8),"■","")</x:f>
        <x:v>■</x:v>
      </x:c>
      <x:c r="M8" s="700" t="str">
        <x:f>IF(AND(M$4&gt;=$C8,M$4&lt;=$D8),"■","")</x:f>
        <x:v>■</x:v>
      </x:c>
      <x:c r="N8" s="700" t="str">
        <x:f>IF(AND(N$4&gt;=$C8,N$4&lt;=$D8),"■","")</x:f>
        <x:v>■</x:v>
      </x:c>
      <x:c r="O8" s="700" t="str">
        <x:f>IF(AND(O$4&gt;=$C8,O$4&lt;=$D8),"■","")</x:f>
        <x:v>■</x:v>
      </x:c>
      <x:c r="P8" s="700" t="str">
        <x:f>IF(AND(P$4&gt;=$C8,P$4&lt;=$D8),"■","")</x:f>
        <x:v>■</x:v>
      </x:c>
      <x:c r="Q8" s="700" t="str">
        <x:f>IF(AND(Q$4&gt;=$C8,Q$4&lt;=$D8),"■","")</x:f>
        <x:v>■</x:v>
      </x:c>
      <x:c r="R8" s="700" t="str">
        <x:f>IF(AND(R$4&gt;=$C8,R$4&lt;=$D8),"■","")</x:f>
        <x:v>■</x:v>
      </x:c>
      <x:c r="S8" s="700" t="str">
        <x:f>IF(AND(S$4&gt;=$C8,S$4&lt;=$D8),"■","")</x:f>
        <x:v>■</x:v>
      </x:c>
      <x:c r="T8" s="700" t="str">
        <x:f>IF(AND(T$4&gt;=$C8,T$4&lt;=$D8),"■","")</x:f>
        <x:v>■</x:v>
      </x:c>
      <x:c r="U8" s="700" t="str">
        <x:f>IF(AND(U$4&gt;=$C8,U$4&lt;=$D8),"■","")</x:f>
        <x:v>■</x:v>
      </x:c>
      <x:c r="V8" s="700" t="str">
        <x:f>IF(AND(V$4&gt;=$C8,V$4&lt;=$D8),"■","")</x:f>
        <x:v>■</x:v>
      </x:c>
      <x:c r="W8" s="700" t="str">
        <x:f>IF(AND(W$4&gt;=$C8,W$4&lt;=$D8),"■","")</x:f>
        <x:v>■</x:v>
      </x:c>
      <x:c r="X8" s="700" t="str">
        <x:f>IF(AND(X$4&gt;=$C8,X$4&lt;=$D8),"■","")</x:f>
        <x:v>■</x:v>
      </x:c>
      <x:c r="Y8" s="700" t="str">
        <x:f>IF(AND(Y$4&gt;=$C8,Y$4&lt;=$D8),"■","")</x:f>
        <x:v>■</x:v>
      </x:c>
      <x:c r="Z8" s="700" t="str">
        <x:f>IF(AND(Z$4&gt;=$C8,Z$4&lt;=$D8),"■","")</x:f>
      </x:c>
      <x:c r="AA8" s="700" t="str">
        <x:f>IF(AND(AA$4&gt;=$C8,AA$4&lt;=$D8),"■","")</x:f>
      </x:c>
      <x:c r="AB8" s="700" t="str">
        <x:f>IF(AND(AB$4&gt;=$C8,AB$4&lt;=$D8),"■","")</x:f>
      </x:c>
      <x:c r="AC8" s="700" t="str">
        <x:f>IF(AND(AC$4&gt;=$C8,AC$4&lt;=$D8),"■","")</x:f>
      </x:c>
      <x:c r="AD8" s="700" t="str">
        <x:f>IF(AND(AD$4&gt;=$C8,AD$4&lt;=$D8),"■","")</x:f>
      </x:c>
      <x:c r="AE8" s="700" t="str">
        <x:f>IF(AND(AE$4&gt;=$C8,AE$4&lt;=$D8),"■","")</x:f>
      </x:c>
      <x:c r="AF8" s="700" t="str">
        <x:f>IF(AND(AF$4&gt;=$C8,AF$4&lt;=$D8),"■","")</x:f>
      </x:c>
      <x:c r="AG8" s="700" t="str">
        <x:f>IF(AND(AG$4&gt;=$C8,AG$4&lt;=$D8),"■","")</x:f>
      </x:c>
      <x:c r="AH8" s="700" t="str">
        <x:f>IF(AND(AH$4&gt;=$C8,AH$4&lt;=$D8),"■","")</x:f>
      </x:c>
      <x:c r="AI8" s="700" t="str">
        <x:f>IF(AND(AI$4&gt;=$C8,AI$4&lt;=$D8),"■","")</x:f>
      </x:c>
      <x:c r="AJ8" s="700" t="str">
        <x:f>IF(AND(AJ$4&gt;=$C8,AJ$4&lt;=$D8),"■","")</x:f>
      </x:c>
      <x:c r="AK8" s="700" t="str">
        <x:f>IF(AND(AK$4&gt;=$C8,AK$4&lt;=$D8),"■","")</x:f>
      </x:c>
      <x:c r="AL8" s="700" t="str">
        <x:f>IF(AND(AL$4&gt;=$C8,AL$4&lt;=$D8),"■","")</x:f>
      </x:c>
      <x:c r="AM8" s="700" t="str">
        <x:f>IF(AND(AM$4&gt;=$C8,AM$4&lt;=$D8),"■","")</x:f>
      </x:c>
      <x:c r="AN8" s="700" t="str">
        <x:f>IF(AND(AN$4&gt;=$C8,AN$4&lt;=$D8),"■","")</x:f>
      </x:c>
      <x:c r="AO8" s="700" t="str">
        <x:f>IF(AND(AO$4&gt;=$C8,AO$4&lt;=$D8),"■","")</x:f>
      </x:c>
    </x:row>
    <x:row r="9" ht="40" customHeight="1">
      <x:c r="A9" s="731" t="str">
        <x:v>P4</x:v>
      </x:c>
      <x:c r="B9" s="679" t="str">
        <x:v>Пилот централизованного заказа</x:v>
      </x:c>
      <x:c r="C9" s="679" t="n">
        <x:v>13</x:v>
      </x:c>
      <x:c r="D9" s="679" t="n">
        <x:v>22</x:v>
      </x:c>
      <x:c r="E9" s="679" t="str">
        <x:v>G4</x:v>
      </x:c>
      <x:c r="F9" s="679" t="str">
        <x:v>3–5 поставщиков и 30–50 SKU дают прослеживаемый черновик заказа в 1С</x:v>
      </x:c>
      <x:c r="G9" s="680" t="str">
        <x:v>Категорийный менеджмент + 1С</x:v>
      </x:c>
      <x:c r="H9" s="700" t="str">
        <x:f>IF(AND(H$4&gt;=$C9,H$4&lt;=$D9),"■","")</x:f>
      </x:c>
      <x:c r="I9" s="700" t="str">
        <x:f>IF(AND(I$4&gt;=$C9,I$4&lt;=$D9),"■","")</x:f>
      </x:c>
      <x:c r="J9" s="700" t="str">
        <x:f>IF(AND(J$4&gt;=$C9,J$4&lt;=$D9),"■","")</x:f>
      </x:c>
      <x:c r="K9" s="700" t="str">
        <x:f>IF(AND(K$4&gt;=$C9,K$4&lt;=$D9),"■","")</x:f>
      </x:c>
      <x:c r="L9" s="700" t="str">
        <x:f>IF(AND(L$4&gt;=$C9,L$4&lt;=$D9),"■","")</x:f>
      </x:c>
      <x:c r="M9" s="700" t="str">
        <x:f>IF(AND(M$4&gt;=$C9,M$4&lt;=$D9),"■","")</x:f>
      </x:c>
      <x:c r="N9" s="700" t="str">
        <x:f>IF(AND(N$4&gt;=$C9,N$4&lt;=$D9),"■","")</x:f>
      </x:c>
      <x:c r="O9" s="700" t="str">
        <x:f>IF(AND(O$4&gt;=$C9,O$4&lt;=$D9),"■","")</x:f>
      </x:c>
      <x:c r="P9" s="700" t="str">
        <x:f>IF(AND(P$4&gt;=$C9,P$4&lt;=$D9),"■","")</x:f>
      </x:c>
      <x:c r="Q9" s="700" t="str">
        <x:f>IF(AND(Q$4&gt;=$C9,Q$4&lt;=$D9),"■","")</x:f>
      </x:c>
      <x:c r="R9" s="700" t="str">
        <x:f>IF(AND(R$4&gt;=$C9,R$4&lt;=$D9),"■","")</x:f>
      </x:c>
      <x:c r="S9" s="700" t="str">
        <x:f>IF(AND(S$4&gt;=$C9,S$4&lt;=$D9),"■","")</x:f>
      </x:c>
      <x:c r="T9" s="700" t="str">
        <x:f>IF(AND(T$4&gt;=$C9,T$4&lt;=$D9),"■","")</x:f>
        <x:v>■</x:v>
      </x:c>
      <x:c r="U9" s="700" t="str">
        <x:f>IF(AND(U$4&gt;=$C9,U$4&lt;=$D9),"■","")</x:f>
        <x:v>■</x:v>
      </x:c>
      <x:c r="V9" s="700" t="str">
        <x:f>IF(AND(V$4&gt;=$C9,V$4&lt;=$D9),"■","")</x:f>
        <x:v>■</x:v>
      </x:c>
      <x:c r="W9" s="700" t="str">
        <x:f>IF(AND(W$4&gt;=$C9,W$4&lt;=$D9),"■","")</x:f>
        <x:v>■</x:v>
      </x:c>
      <x:c r="X9" s="700" t="str">
        <x:f>IF(AND(X$4&gt;=$C9,X$4&lt;=$D9),"■","")</x:f>
        <x:v>■</x:v>
      </x:c>
      <x:c r="Y9" s="700" t="str">
        <x:f>IF(AND(Y$4&gt;=$C9,Y$4&lt;=$D9),"■","")</x:f>
        <x:v>■</x:v>
      </x:c>
      <x:c r="Z9" s="700" t="str">
        <x:f>IF(AND(Z$4&gt;=$C9,Z$4&lt;=$D9),"■","")</x:f>
        <x:v>■</x:v>
      </x:c>
      <x:c r="AA9" s="700" t="str">
        <x:f>IF(AND(AA$4&gt;=$C9,AA$4&lt;=$D9),"■","")</x:f>
        <x:v>■</x:v>
      </x:c>
      <x:c r="AB9" s="700" t="str">
        <x:f>IF(AND(AB$4&gt;=$C9,AB$4&lt;=$D9),"■","")</x:f>
        <x:v>■</x:v>
      </x:c>
      <x:c r="AC9" s="700" t="str">
        <x:f>IF(AND(AC$4&gt;=$C9,AC$4&lt;=$D9),"■","")</x:f>
        <x:v>■</x:v>
      </x:c>
      <x:c r="AD9" s="700" t="str">
        <x:f>IF(AND(AD$4&gt;=$C9,AD$4&lt;=$D9),"■","")</x:f>
      </x:c>
      <x:c r="AE9" s="700" t="str">
        <x:f>IF(AND(AE$4&gt;=$C9,AE$4&lt;=$D9),"■","")</x:f>
      </x:c>
      <x:c r="AF9" s="700" t="str">
        <x:f>IF(AND(AF$4&gt;=$C9,AF$4&lt;=$D9),"■","")</x:f>
      </x:c>
      <x:c r="AG9" s="700" t="str">
        <x:f>IF(AND(AG$4&gt;=$C9,AG$4&lt;=$D9),"■","")</x:f>
      </x:c>
      <x:c r="AH9" s="700" t="str">
        <x:f>IF(AND(AH$4&gt;=$C9,AH$4&lt;=$D9),"■","")</x:f>
      </x:c>
      <x:c r="AI9" s="700" t="str">
        <x:f>IF(AND(AI$4&gt;=$C9,AI$4&lt;=$D9),"■","")</x:f>
      </x:c>
      <x:c r="AJ9" s="700" t="str">
        <x:f>IF(AND(AJ$4&gt;=$C9,AJ$4&lt;=$D9),"■","")</x:f>
      </x:c>
      <x:c r="AK9" s="700" t="str">
        <x:f>IF(AND(AK$4&gt;=$C9,AK$4&lt;=$D9),"■","")</x:f>
      </x:c>
      <x:c r="AL9" s="700" t="str">
        <x:f>IF(AND(AL$4&gt;=$C9,AL$4&lt;=$D9),"■","")</x:f>
      </x:c>
      <x:c r="AM9" s="700" t="str">
        <x:f>IF(AND(AM$4&gt;=$C9,AM$4&lt;=$D9),"■","")</x:f>
      </x:c>
      <x:c r="AN9" s="700" t="str">
        <x:f>IF(AND(AN$4&gt;=$C9,AN$4&lt;=$D9),"■","")</x:f>
      </x:c>
      <x:c r="AO9" s="700" t="str">
        <x:f>IF(AND(AO$4&gt;=$C9,AO$4&lt;=$D9),"■","")</x:f>
      </x:c>
    </x:row>
    <x:row r="10" ht="40" customHeight="1">
      <x:c r="A10" s="739" t="str">
        <x:v>P5</x:v>
      </x:c>
      <x:c r="B10" s="679" t="str">
        <x:v>Пилот приёмки</x:v>
      </x:c>
      <x:c r="C10" s="679" t="n">
        <x:v>19</x:v>
      </x:c>
      <x:c r="D10" s="679" t="n">
        <x:v>28</x:v>
      </x:c>
      <x:c r="E10" s="679" t="str">
        <x:v>G5</x:v>
      </x:c>
      <x:c r="F10" s="679" t="str">
        <x:v>Поставка принимается сканированием и создаёт типовой документ без повторного ввода</x:v>
      </x:c>
      <x:c r="G10" s="680" t="str">
        <x:v>Склад / магазины + 1С</x:v>
      </x:c>
      <x:c r="H10" s="700" t="str">
        <x:f>IF(AND(H$4&gt;=$C10,H$4&lt;=$D10),"■","")</x:f>
      </x:c>
      <x:c r="I10" s="700" t="str">
        <x:f>IF(AND(I$4&gt;=$C10,I$4&lt;=$D10),"■","")</x:f>
      </x:c>
      <x:c r="J10" s="700" t="str">
        <x:f>IF(AND(J$4&gt;=$C10,J$4&lt;=$D10),"■","")</x:f>
      </x:c>
      <x:c r="K10" s="700" t="str">
        <x:f>IF(AND(K$4&gt;=$C10,K$4&lt;=$D10),"■","")</x:f>
      </x:c>
      <x:c r="L10" s="700" t="str">
        <x:f>IF(AND(L$4&gt;=$C10,L$4&lt;=$D10),"■","")</x:f>
      </x:c>
      <x:c r="M10" s="700" t="str">
        <x:f>IF(AND(M$4&gt;=$C10,M$4&lt;=$D10),"■","")</x:f>
      </x:c>
      <x:c r="N10" s="700" t="str">
        <x:f>IF(AND(N$4&gt;=$C10,N$4&lt;=$D10),"■","")</x:f>
      </x:c>
      <x:c r="O10" s="700" t="str">
        <x:f>IF(AND(O$4&gt;=$C10,O$4&lt;=$D10),"■","")</x:f>
      </x:c>
      <x:c r="P10" s="700" t="str">
        <x:f>IF(AND(P$4&gt;=$C10,P$4&lt;=$D10),"■","")</x:f>
      </x:c>
      <x:c r="Q10" s="700" t="str">
        <x:f>IF(AND(Q$4&gt;=$C10,Q$4&lt;=$D10),"■","")</x:f>
      </x:c>
      <x:c r="R10" s="700" t="str">
        <x:f>IF(AND(R$4&gt;=$C10,R$4&lt;=$D10),"■","")</x:f>
      </x:c>
      <x:c r="S10" s="700" t="str">
        <x:f>IF(AND(S$4&gt;=$C10,S$4&lt;=$D10),"■","")</x:f>
      </x:c>
      <x:c r="T10" s="700" t="str">
        <x:f>IF(AND(T$4&gt;=$C10,T$4&lt;=$D10),"■","")</x:f>
      </x:c>
      <x:c r="U10" s="700" t="str">
        <x:f>IF(AND(U$4&gt;=$C10,U$4&lt;=$D10),"■","")</x:f>
      </x:c>
      <x:c r="V10" s="700" t="str">
        <x:f>IF(AND(V$4&gt;=$C10,V$4&lt;=$D10),"■","")</x:f>
      </x:c>
      <x:c r="W10" s="700" t="str">
        <x:f>IF(AND(W$4&gt;=$C10,W$4&lt;=$D10),"■","")</x:f>
      </x:c>
      <x:c r="X10" s="700" t="str">
        <x:f>IF(AND(X$4&gt;=$C10,X$4&lt;=$D10),"■","")</x:f>
      </x:c>
      <x:c r="Y10" s="700" t="str">
        <x:f>IF(AND(Y$4&gt;=$C10,Y$4&lt;=$D10),"■","")</x:f>
      </x:c>
      <x:c r="Z10" s="700" t="str">
        <x:f>IF(AND(Z$4&gt;=$C10,Z$4&lt;=$D10),"■","")</x:f>
        <x:v>■</x:v>
      </x:c>
      <x:c r="AA10" s="700" t="str">
        <x:f>IF(AND(AA$4&gt;=$C10,AA$4&lt;=$D10),"■","")</x:f>
        <x:v>■</x:v>
      </x:c>
      <x:c r="AB10" s="700" t="str">
        <x:f>IF(AND(AB$4&gt;=$C10,AB$4&lt;=$D10),"■","")</x:f>
        <x:v>■</x:v>
      </x:c>
      <x:c r="AC10" s="700" t="str">
        <x:f>IF(AND(AC$4&gt;=$C10,AC$4&lt;=$D10),"■","")</x:f>
        <x:v>■</x:v>
      </x:c>
      <x:c r="AD10" s="700" t="str">
        <x:f>IF(AND(AD$4&gt;=$C10,AD$4&lt;=$D10),"■","")</x:f>
        <x:v>■</x:v>
      </x:c>
      <x:c r="AE10" s="700" t="str">
        <x:f>IF(AND(AE$4&gt;=$C10,AE$4&lt;=$D10),"■","")</x:f>
        <x:v>■</x:v>
      </x:c>
      <x:c r="AF10" s="700" t="str">
        <x:f>IF(AND(AF$4&gt;=$C10,AF$4&lt;=$D10),"■","")</x:f>
        <x:v>■</x:v>
      </x:c>
      <x:c r="AG10" s="700" t="str">
        <x:f>IF(AND(AG$4&gt;=$C10,AG$4&lt;=$D10),"■","")</x:f>
        <x:v>■</x:v>
      </x:c>
      <x:c r="AH10" s="700" t="str">
        <x:f>IF(AND(AH$4&gt;=$C10,AH$4&lt;=$D10),"■","")</x:f>
        <x:v>■</x:v>
      </x:c>
      <x:c r="AI10" s="700" t="str">
        <x:f>IF(AND(AI$4&gt;=$C10,AI$4&lt;=$D10),"■","")</x:f>
        <x:v>■</x:v>
      </x:c>
      <x:c r="AJ10" s="700" t="str">
        <x:f>IF(AND(AJ$4&gt;=$C10,AJ$4&lt;=$D10),"■","")</x:f>
      </x:c>
      <x:c r="AK10" s="700" t="str">
        <x:f>IF(AND(AK$4&gt;=$C10,AK$4&lt;=$D10),"■","")</x:f>
      </x:c>
      <x:c r="AL10" s="700" t="str">
        <x:f>IF(AND(AL$4&gt;=$C10,AL$4&lt;=$D10),"■","")</x:f>
      </x:c>
      <x:c r="AM10" s="700" t="str">
        <x:f>IF(AND(AM$4&gt;=$C10,AM$4&lt;=$D10),"■","")</x:f>
      </x:c>
      <x:c r="AN10" s="700" t="str">
        <x:f>IF(AND(AN$4&gt;=$C10,AN$4&lt;=$D10),"■","")</x:f>
      </x:c>
      <x:c r="AO10" s="700" t="str">
        <x:f>IF(AND(AO$4&gt;=$C10,AO$4&lt;=$D10),"■","")</x:f>
      </x:c>
    </x:row>
    <x:row r="11" ht="40" customHeight="1">
      <x:c r="A11" s="747" t="str">
        <x:v>P6</x:v>
      </x:c>
      <x:c r="B11" s="679" t="str">
        <x:v>Финансы, продажи и BI</x:v>
      </x:c>
      <x:c r="C11" s="679" t="n">
        <x:v>15</x:v>
      </x:c>
      <x:c r="D11" s="679" t="n">
        <x:v>32</x:v>
      </x:c>
      <x:c r="E11" s="679" t="str">
        <x:v>G6</x:v>
      </x:c>
      <x:c r="F11" s="679" t="str">
        <x:v>Управленческий контур строится на сверенных источниках и расшифровывается до документа</x:v>
      </x:c>
      <x:c r="G11" s="680" t="str">
        <x:v>Финансовый директор + продажи + BI</x:v>
      </x:c>
      <x:c r="H11" s="700" t="str">
        <x:f>IF(AND(H$4&gt;=$C11,H$4&lt;=$D11),"■","")</x:f>
      </x:c>
      <x:c r="I11" s="700" t="str">
        <x:f>IF(AND(I$4&gt;=$C11,I$4&lt;=$D11),"■","")</x:f>
      </x:c>
      <x:c r="J11" s="700" t="str">
        <x:f>IF(AND(J$4&gt;=$C11,J$4&lt;=$D11),"■","")</x:f>
      </x:c>
      <x:c r="K11" s="700" t="str">
        <x:f>IF(AND(K$4&gt;=$C11,K$4&lt;=$D11),"■","")</x:f>
      </x:c>
      <x:c r="L11" s="700" t="str">
        <x:f>IF(AND(L$4&gt;=$C11,L$4&lt;=$D11),"■","")</x:f>
      </x:c>
      <x:c r="M11" s="700" t="str">
        <x:f>IF(AND(M$4&gt;=$C11,M$4&lt;=$D11),"■","")</x:f>
      </x:c>
      <x:c r="N11" s="700" t="str">
        <x:f>IF(AND(N$4&gt;=$C11,N$4&lt;=$D11),"■","")</x:f>
      </x:c>
      <x:c r="O11" s="700" t="str">
        <x:f>IF(AND(O$4&gt;=$C11,O$4&lt;=$D11),"■","")</x:f>
      </x:c>
      <x:c r="P11" s="700" t="str">
        <x:f>IF(AND(P$4&gt;=$C11,P$4&lt;=$D11),"■","")</x:f>
      </x:c>
      <x:c r="Q11" s="700" t="str">
        <x:f>IF(AND(Q$4&gt;=$C11,Q$4&lt;=$D11),"■","")</x:f>
      </x:c>
      <x:c r="R11" s="700" t="str">
        <x:f>IF(AND(R$4&gt;=$C11,R$4&lt;=$D11),"■","")</x:f>
      </x:c>
      <x:c r="S11" s="700" t="str">
        <x:f>IF(AND(S$4&gt;=$C11,S$4&lt;=$D11),"■","")</x:f>
      </x:c>
      <x:c r="T11" s="700" t="str">
        <x:f>IF(AND(T$4&gt;=$C11,T$4&lt;=$D11),"■","")</x:f>
      </x:c>
      <x:c r="U11" s="700" t="str">
        <x:f>IF(AND(U$4&gt;=$C11,U$4&lt;=$D11),"■","")</x:f>
      </x:c>
      <x:c r="V11" s="700" t="str">
        <x:f>IF(AND(V$4&gt;=$C11,V$4&lt;=$D11),"■","")</x:f>
        <x:v>■</x:v>
      </x:c>
      <x:c r="W11" s="700" t="str">
        <x:f>IF(AND(W$4&gt;=$C11,W$4&lt;=$D11),"■","")</x:f>
        <x:v>■</x:v>
      </x:c>
      <x:c r="X11" s="700" t="str">
        <x:f>IF(AND(X$4&gt;=$C11,X$4&lt;=$D11),"■","")</x:f>
        <x:v>■</x:v>
      </x:c>
      <x:c r="Y11" s="700" t="str">
        <x:f>IF(AND(Y$4&gt;=$C11,Y$4&lt;=$D11),"■","")</x:f>
        <x:v>■</x:v>
      </x:c>
      <x:c r="Z11" s="700" t="str">
        <x:f>IF(AND(Z$4&gt;=$C11,Z$4&lt;=$D11),"■","")</x:f>
        <x:v>■</x:v>
      </x:c>
      <x:c r="AA11" s="700" t="str">
        <x:f>IF(AND(AA$4&gt;=$C11,AA$4&lt;=$D11),"■","")</x:f>
        <x:v>■</x:v>
      </x:c>
      <x:c r="AB11" s="700" t="str">
        <x:f>IF(AND(AB$4&gt;=$C11,AB$4&lt;=$D11),"■","")</x:f>
        <x:v>■</x:v>
      </x:c>
      <x:c r="AC11" s="700" t="str">
        <x:f>IF(AND(AC$4&gt;=$C11,AC$4&lt;=$D11),"■","")</x:f>
        <x:v>■</x:v>
      </x:c>
      <x:c r="AD11" s="700" t="str">
        <x:f>IF(AND(AD$4&gt;=$C11,AD$4&lt;=$D11),"■","")</x:f>
        <x:v>■</x:v>
      </x:c>
      <x:c r="AE11" s="700" t="str">
        <x:f>IF(AND(AE$4&gt;=$C11,AE$4&lt;=$D11),"■","")</x:f>
        <x:v>■</x:v>
      </x:c>
      <x:c r="AF11" s="700" t="str">
        <x:f>IF(AND(AF$4&gt;=$C11,AF$4&lt;=$D11),"■","")</x:f>
        <x:v>■</x:v>
      </x:c>
      <x:c r="AG11" s="700" t="str">
        <x:f>IF(AND(AG$4&gt;=$C11,AG$4&lt;=$D11),"■","")</x:f>
        <x:v>■</x:v>
      </x:c>
      <x:c r="AH11" s="700" t="str">
        <x:f>IF(AND(AH$4&gt;=$C11,AH$4&lt;=$D11),"■","")</x:f>
        <x:v>■</x:v>
      </x:c>
      <x:c r="AI11" s="700" t="str">
        <x:f>IF(AND(AI$4&gt;=$C11,AI$4&lt;=$D11),"■","")</x:f>
        <x:v>■</x:v>
      </x:c>
      <x:c r="AJ11" s="700" t="str">
        <x:f>IF(AND(AJ$4&gt;=$C11,AJ$4&lt;=$D11),"■","")</x:f>
        <x:v>■</x:v>
      </x:c>
      <x:c r="AK11" s="700" t="str">
        <x:f>IF(AND(AK$4&gt;=$C11,AK$4&lt;=$D11),"■","")</x:f>
        <x:v>■</x:v>
      </x:c>
      <x:c r="AL11" s="700" t="str">
        <x:f>IF(AND(AL$4&gt;=$C11,AL$4&lt;=$D11),"■","")</x:f>
        <x:v>■</x:v>
      </x:c>
      <x:c r="AM11" s="700" t="str">
        <x:f>IF(AND(AM$4&gt;=$C11,AM$4&lt;=$D11),"■","")</x:f>
        <x:v>■</x:v>
      </x:c>
      <x:c r="AN11" s="700" t="str">
        <x:f>IF(AND(AN$4&gt;=$C11,AN$4&lt;=$D11),"■","")</x:f>
      </x:c>
      <x:c r="AO11" s="700" t="str">
        <x:f>IF(AND(AO$4&gt;=$C11,AO$4&lt;=$D11),"■","")</x:f>
      </x:c>
    </x:row>
    <x:row r="12" ht="40" customHeight="1">
      <x:c r="A12" s="755" t="str">
        <x:v>P7</x:v>
      </x:c>
      <x:c r="B12" s="679" t="str">
        <x:v>Масштабирование и передача</x:v>
      </x:c>
      <x:c r="C12" s="679" t="n">
        <x:v>29</x:v>
      </x:c>
      <x:c r="D12" s="679" t="n">
        <x:v>34</x:v>
      </x:c>
      <x:c r="E12" s="679" t="str">
        <x:v>G7</x:v>
      </x:c>
      <x:c r="F12" s="679" t="str">
        <x:v>Решение развёрнуто, пользователи обучены, эксплуатация и поддержка приняты</x:v>
      </x:c>
      <x:c r="G12" s="680" t="str">
        <x:v>Руководитель проекта + владельцы</x:v>
      </x:c>
      <x:c r="H12" s="700" t="str">
        <x:f>IF(AND(H$4&gt;=$C12,H$4&lt;=$D12),"■","")</x:f>
      </x:c>
      <x:c r="I12" s="700" t="str">
        <x:f>IF(AND(I$4&gt;=$C12,I$4&lt;=$D12),"■","")</x:f>
      </x:c>
      <x:c r="J12" s="700" t="str">
        <x:f>IF(AND(J$4&gt;=$C12,J$4&lt;=$D12),"■","")</x:f>
      </x:c>
      <x:c r="K12" s="700" t="str">
        <x:f>IF(AND(K$4&gt;=$C12,K$4&lt;=$D12),"■","")</x:f>
      </x:c>
      <x:c r="L12" s="700" t="str">
        <x:f>IF(AND(L$4&gt;=$C12,L$4&lt;=$D12),"■","")</x:f>
      </x:c>
      <x:c r="M12" s="700" t="str">
        <x:f>IF(AND(M$4&gt;=$C12,M$4&lt;=$D12),"■","")</x:f>
      </x:c>
      <x:c r="N12" s="700" t="str">
        <x:f>IF(AND(N$4&gt;=$C12,N$4&lt;=$D12),"■","")</x:f>
      </x:c>
      <x:c r="O12" s="700" t="str">
        <x:f>IF(AND(O$4&gt;=$C12,O$4&lt;=$D12),"■","")</x:f>
      </x:c>
      <x:c r="P12" s="700" t="str">
        <x:f>IF(AND(P$4&gt;=$C12,P$4&lt;=$D12),"■","")</x:f>
      </x:c>
      <x:c r="Q12" s="700" t="str">
        <x:f>IF(AND(Q$4&gt;=$C12,Q$4&lt;=$D12),"■","")</x:f>
      </x:c>
      <x:c r="R12" s="700" t="str">
        <x:f>IF(AND(R$4&gt;=$C12,R$4&lt;=$D12),"■","")</x:f>
      </x:c>
      <x:c r="S12" s="700" t="str">
        <x:f>IF(AND(S$4&gt;=$C12,S$4&lt;=$D12),"■","")</x:f>
      </x:c>
      <x:c r="T12" s="700" t="str">
        <x:f>IF(AND(T$4&gt;=$C12,T$4&lt;=$D12),"■","")</x:f>
      </x:c>
      <x:c r="U12" s="700" t="str">
        <x:f>IF(AND(U$4&gt;=$C12,U$4&lt;=$D12),"■","")</x:f>
      </x:c>
      <x:c r="V12" s="700" t="str">
        <x:f>IF(AND(V$4&gt;=$C12,V$4&lt;=$D12),"■","")</x:f>
      </x:c>
      <x:c r="W12" s="700" t="str">
        <x:f>IF(AND(W$4&gt;=$C12,W$4&lt;=$D12),"■","")</x:f>
      </x:c>
      <x:c r="X12" s="700" t="str">
        <x:f>IF(AND(X$4&gt;=$C12,X$4&lt;=$D12),"■","")</x:f>
      </x:c>
      <x:c r="Y12" s="700" t="str">
        <x:f>IF(AND(Y$4&gt;=$C12,Y$4&lt;=$D12),"■","")</x:f>
      </x:c>
      <x:c r="Z12" s="700" t="str">
        <x:f>IF(AND(Z$4&gt;=$C12,Z$4&lt;=$D12),"■","")</x:f>
      </x:c>
      <x:c r="AA12" s="700" t="str">
        <x:f>IF(AND(AA$4&gt;=$C12,AA$4&lt;=$D12),"■","")</x:f>
      </x:c>
      <x:c r="AB12" s="700" t="str">
        <x:f>IF(AND(AB$4&gt;=$C12,AB$4&lt;=$D12),"■","")</x:f>
      </x:c>
      <x:c r="AC12" s="700" t="str">
        <x:f>IF(AND(AC$4&gt;=$C12,AC$4&lt;=$D12),"■","")</x:f>
      </x:c>
      <x:c r="AD12" s="700" t="str">
        <x:f>IF(AND(AD$4&gt;=$C12,AD$4&lt;=$D12),"■","")</x:f>
      </x:c>
      <x:c r="AE12" s="700" t="str">
        <x:f>IF(AND(AE$4&gt;=$C12,AE$4&lt;=$D12),"■","")</x:f>
      </x:c>
      <x:c r="AF12" s="700" t="str">
        <x:f>IF(AND(AF$4&gt;=$C12,AF$4&lt;=$D12),"■","")</x:f>
      </x:c>
      <x:c r="AG12" s="700" t="str">
        <x:f>IF(AND(AG$4&gt;=$C12,AG$4&lt;=$D12),"■","")</x:f>
      </x:c>
      <x:c r="AH12" s="700" t="str">
        <x:f>IF(AND(AH$4&gt;=$C12,AH$4&lt;=$D12),"■","")</x:f>
      </x:c>
      <x:c r="AI12" s="700" t="str">
        <x:f>IF(AND(AI$4&gt;=$C12,AI$4&lt;=$D12),"■","")</x:f>
      </x:c>
      <x:c r="AJ12" s="700" t="str">
        <x:f>IF(AND(AJ$4&gt;=$C12,AJ$4&lt;=$D12),"■","")</x:f>
        <x:v>■</x:v>
      </x:c>
      <x:c r="AK12" s="700" t="str">
        <x:f>IF(AND(AK$4&gt;=$C12,AK$4&lt;=$D12),"■","")</x:f>
        <x:v>■</x:v>
      </x:c>
      <x:c r="AL12" s="700" t="str">
        <x:f>IF(AND(AL$4&gt;=$C12,AL$4&lt;=$D12),"■","")</x:f>
        <x:v>■</x:v>
      </x:c>
      <x:c r="AM12" s="700" t="str">
        <x:f>IF(AND(AM$4&gt;=$C12,AM$4&lt;=$D12),"■","")</x:f>
        <x:v>■</x:v>
      </x:c>
      <x:c r="AN12" s="700" t="str">
        <x:f>IF(AND(AN$4&gt;=$C12,AN$4&lt;=$D12),"■","")</x:f>
        <x:v>■</x:v>
      </x:c>
      <x:c r="AO12" s="700" t="str">
        <x:f>IF(AND(AO$4&gt;=$C12,AO$4&lt;=$D12),"■","")</x:f>
        <x:v>■</x:v>
      </x:c>
    </x:row>
    <x:row r="15" ht="32" customHeight="1">
      <x:c r="A15" s="73" t="str">
        <x:v>Gate</x:v>
      </x:c>
      <x:c r="B15" s="74" t="str">
        <x:v>Контрольная точка</x:v>
      </x:c>
      <x:c r="C15" s="74" t="str">
        <x:v>Неделя</x:v>
      </x:c>
      <x:c r="D15" s="74" t="str">
        <x:v>Критерий</x:v>
      </x:c>
      <x:c r="E15" s="74"/>
      <x:c r="F15" s="74"/>
      <x:c r="G15" s="75"/>
    </x:row>
    <x:row r="16" ht="42" customHeight="1">
      <x:c r="A16" s="762" t="str">
        <x:v>G0</x:v>
      </x:c>
      <x:c r="B16" s="679" t="str">
        <x:v>Baseline и доступы</x:v>
      </x:c>
      <x:c r="C16" s="679" t="n">
        <x:v>2</x:v>
      </x:c>
      <x:c r="D16" s="679" t="str">
        <x:v>Архитектура «Форус», карта узлов, ресурсы, тестовая копия, 14 расширений, активы и backlog утверждены</x:v>
      </x:c>
      <x:c r="E16" s="679"/>
      <x:c r="F16" s="679"/>
      <x:c r="G16" s="680"/>
      <x:c r="I16" s="768" t="str">
        <x:v>G0</x:v>
      </x:c>
    </x:row>
    <x:row r="17" ht="42" customHeight="1">
      <x:c r="A17" s="762" t="str">
        <x:v>G1</x:v>
      </x:c>
      <x:c r="B17" s="679" t="str">
        <x:v>Контрольный магазин/день</x:v>
      </x:c>
      <x:c r="C17" s="679" t="n">
        <x:v>6</x:v>
      </x:c>
      <x:c r="D17" s="679" t="str">
        <x:v>Один магазин/день и ключевые обмены прослежены; документы, суммы, остатки, себестоимость и ошибки объяснены</x:v>
      </x:c>
      <x:c r="E17" s="679"/>
      <x:c r="F17" s="679"/>
      <x:c r="G17" s="680"/>
      <x:c r="M17" s="768" t="str">
        <x:v>G1</x:v>
      </x:c>
    </x:row>
    <x:row r="18" ht="42" customHeight="1">
      <x:c r="A18" s="762" t="str">
        <x:v>G2</x:v>
      </x:c>
      <x:c r="B18" s="679" t="str">
        <x:v>Методология и НСИ</x:v>
      </x:c>
      <x:c r="C18" s="679" t="n">
        <x:v>10</x:v>
      </x:c>
      <x:c r="D18" s="679" t="str">
        <x:v>НСИ, формулы, права, скидки/MAXMA, владельцы и решения keep/refactor/replace/retire утверждены</x:v>
      </x:c>
      <x:c r="E18" s="679"/>
      <x:c r="F18" s="679"/>
      <x:c r="G18" s="680"/>
      <x:c r="Q18" s="768" t="str">
        <x:v>G2</x:v>
      </x:c>
    </x:row>
    <x:row r="19" ht="42" customHeight="1">
      <x:c r="A19" s="762" t="str">
        <x:v>G3</x:v>
      </x:c>
      <x:c r="B19" s="679" t="str">
        <x:v>Платформа</x:v>
      </x:c>
      <x:c r="C19" s="679" t="n">
        <x:v>18</x:v>
      </x:c>
      <x:c r="D19" s="679" t="str">
        <x:v>Readers/profiles/DQ/package/API и интеграция с центральной УТ/Розницей прошли golden, security и migration tests</x:v>
      </x:c>
      <x:c r="E19" s="679"/>
      <x:c r="F19" s="679"/>
      <x:c r="G19" s="680"/>
      <x:c r="Y19" s="768" t="str">
        <x:v>G3</x:v>
      </x:c>
    </x:row>
    <x:row r="20" ht="42" customHeight="1">
      <x:c r="A20" s="762" t="str">
        <x:v>G4</x:v>
      </x:c>
      <x:c r="B20" s="679" t="str">
        <x:v>MVP заказа</x:v>
      </x:c>
      <x:c r="C20" s="679" t="n">
        <x:v>22</x:v>
      </x:c>
      <x:c r="D20" s="679" t="str">
        <x:v>3–5 поставщиков, 30–50 SKU, один черновик заказа без дублей</x:v>
      </x:c>
      <x:c r="E20" s="679"/>
      <x:c r="F20" s="679"/>
      <x:c r="G20" s="680"/>
      <x:c r="AC20" s="768" t="str">
        <x:v>G4</x:v>
      </x:c>
    </x:row>
    <x:row r="21" ht="42" customHeight="1">
      <x:c r="A21" s="762" t="str">
        <x:v>G5</x:v>
      </x:c>
      <x:c r="B21" s="679" t="str">
        <x:v>MVP приёмки</x:v>
      </x:c>
      <x:c r="C21" s="679" t="n">
        <x:v>28</x:v>
      </x:c>
      <x:c r="D21" s="679" t="str">
        <x:v>Scan fact, exceptions и типовые документы приняты UAT</x:v>
      </x:c>
      <x:c r="E21" s="679"/>
      <x:c r="F21" s="679"/>
      <x:c r="G21" s="680"/>
      <x:c r="AI21" s="768" t="str">
        <x:v>G5</x:v>
      </x:c>
    </x:row>
    <x:row r="22" ht="42" customHeight="1">
      <x:c r="A22" s="762" t="str">
        <x:v>G6</x:v>
      </x:c>
      <x:c r="B22" s="679" t="str">
        <x:v>Управленческий контур</x:v>
      </x:c>
      <x:c r="C22" s="679" t="n">
        <x:v>32</x:v>
      </x:c>
      <x:c r="D22" s="679" t="str">
        <x:v>P&amp;L/продажи/остатки сверены и drill-down до документов</x:v>
      </x:c>
      <x:c r="E22" s="679"/>
      <x:c r="F22" s="679"/>
      <x:c r="G22" s="680"/>
      <x:c r="AM22" s="768" t="str">
        <x:v>G6</x:v>
      </x:c>
    </x:row>
    <x:row r="23" ht="42" customHeight="1">
      <x:c r="A23" s="762" t="str">
        <x:v>G7</x:v>
      </x:c>
      <x:c r="B23" s="679" t="str">
        <x:v>Передача</x:v>
      </x:c>
      <x:c r="C23" s="679" t="n">
        <x:v>34</x:v>
      </x:c>
      <x:c r="D23" s="679" t="str">
        <x:v>Rollout, обучение, runbooks, backup/restore и SLA приняты</x:v>
      </x:c>
      <x:c r="E23" s="679"/>
      <x:c r="F23" s="679"/>
      <x:c r="G23" s="680"/>
      <x:c r="AO23" s="768" t="str">
        <x:v>G7</x:v>
      </x:c>
    </x:row>
  </x:sheetData>
  <x:mergeCells>
    <x:mergeCell ref="A1:AO1"/>
    <x:mergeCell ref="A2:AO2"/>
    <x:mergeCell ref="D15:G15"/>
    <x:mergeCell ref="D16:G16"/>
    <x:mergeCell ref="D17:G17"/>
    <x:mergeCell ref="D18:G18"/>
    <x:mergeCell ref="D19:G19"/>
    <x:mergeCell ref="D20:G20"/>
    <x:mergeCell ref="D21:G21"/>
    <x:mergeCell ref="D22:G22"/>
    <x:mergeCell ref="D23:G23"/>
  </x:mergeCells>
  <x:conditionalFormatting sqref="H5:AO5">
    <x:cfRule type="expression" dxfId="5" priority="1">
      <x:formula>H5="■"</x:formula>
    </x:cfRule>
  </x:conditionalFormatting>
  <x:conditionalFormatting sqref="H6:AO6">
    <x:cfRule type="expression" dxfId="6" priority="2">
      <x:formula>H6="■"</x:formula>
    </x:cfRule>
  </x:conditionalFormatting>
  <x:conditionalFormatting sqref="H7:AO7">
    <x:cfRule type="expression" dxfId="7" priority="3">
      <x:formula>H7="■"</x:formula>
    </x:cfRule>
  </x:conditionalFormatting>
  <x:conditionalFormatting sqref="H8:AO8">
    <x:cfRule type="expression" dxfId="8" priority="4">
      <x:formula>H8="■"</x:formula>
    </x:cfRule>
  </x:conditionalFormatting>
  <x:conditionalFormatting sqref="H9:AO9">
    <x:cfRule type="expression" dxfId="9" priority="5">
      <x:formula>H9="■"</x:formula>
    </x:cfRule>
  </x:conditionalFormatting>
  <x:conditionalFormatting sqref="H10:AO10">
    <x:cfRule type="expression" dxfId="10" priority="6">
      <x:formula>H10="■"</x:formula>
    </x:cfRule>
  </x:conditionalFormatting>
  <x:conditionalFormatting sqref="H11:AO11">
    <x:cfRule type="expression" dxfId="11" priority="7">
      <x:formula>H11="■"</x:formula>
    </x:cfRule>
  </x:conditionalFormatting>
  <x:conditionalFormatting sqref="H12:AO12">
    <x:cfRule type="expression" dxfId="12" priority="8">
      <x:formula>H12="■"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6" hidden="0" customWidth="1"/>
    <x:col min="3" max="3" width="12" hidden="0" customWidth="1"/>
    <x:col min="4" max="4" width="10" hidden="0" customWidth="1"/>
    <x:col min="5" max="5" width="10" hidden="0" customWidth="1"/>
    <x:col min="6" max="6" width="15" hidden="0" customWidth="1"/>
    <x:col min="7" max="7" width="11" hidden="0" customWidth="1"/>
    <x:col min="8" max="8" width="25" hidden="0" customWidth="1"/>
    <x:col min="9" max="9" width="56" hidden="0" customWidth="1"/>
    <x:col min="10" max="10" width="40" hidden="0" customWidth="1"/>
  </x:cols>
  <x:sheetData>
    <x:row r="1" ht="32" customHeight="1">
      <x:c r="A1" s="5" t="str">
        <x:v>Реестр рисков — 32 риска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14" t="str">
        <x:v>Оценка = вероятность × влияние; 20+ критический, 12–19 высокий, 6–11 средний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 ht="32" customHeight="1">
      <x:c r="A4" s="73" t="str">
        <x:v>ID</x:v>
      </x:c>
      <x:c r="B4" s="74" t="str">
        <x:v>Риск</x:v>
      </x:c>
      <x:c r="C4" s="74" t="str">
        <x:v>Вероятность</x:v>
      </x:c>
      <x:c r="D4" s="74" t="str">
        <x:v>Влияние</x:v>
      </x:c>
      <x:c r="E4" s="74" t="str">
        <x:v>Оценка</x:v>
      </x:c>
      <x:c r="F4" s="74" t="str">
        <x:v>Уровень</x:v>
      </x:c>
      <x:c r="G4" s="74" t="str">
        <x:v>Приоритет</x:v>
      </x:c>
      <x:c r="H4" s="74" t="str">
        <x:v>Владелец</x:v>
      </x:c>
      <x:c r="I4" s="74" t="str">
        <x:v>Меры реагирования</x:v>
      </x:c>
      <x:c r="J4" s="75" t="str">
        <x:v>Триггер</x:v>
      </x:c>
    </x:row>
    <x:row r="5" ht="56" customHeight="1">
      <x:c r="A5" s="108" t="str">
        <x:v>R-01</x:v>
      </x:c>
      <x:c r="B5" s="109" t="str">
        <x:v>Неполные доступы и отсутствие переданных исходников/расширений 1С</x:v>
      </x:c>
      <x:c r="C5" s="109" t="n">
        <x:v>5</x:v>
      </x:c>
      <x:c r="D5" s="109" t="n">
        <x:v>5</x:v>
      </x:c>
      <x:c r="E5" s="109" t="n">
        <x:f>C5*D5</x:f>
        <x:v>25</x:v>
      </x:c>
      <x:c r="F5" s="109" t="str">
        <x:f>IF(E5&gt;=20,"Критический",IF(E5&gt;=12,"Высокий",IF(E5&gt;=6,"Средний","Низкий")))</x:f>
        <x:v>Критический</x:v>
      </x:c>
      <x:c r="G5" s="109" t="str">
        <x:v>P0</x:v>
      </x:c>
      <x:c r="H5" s="109" t="str">
        <x:v>Спонсор / ИТ / юрист</x:v>
      </x:c>
      <x:c r="I5" s="109" t="str">
        <x:v>Инвентаризация активов, акт передачи, read-only доступы, резервные копии</x:v>
      </x:c>
      <x:c r="J5" s="110" t="str">
        <x:v>Любой критический объект недоступен к G0</x:v>
      </x:c>
    </x:row>
    <x:row r="6" ht="56" customHeight="1">
      <x:c r="A6" s="111" t="str">
        <x:v>R-02</x:v>
      </x:c>
      <x:c r="B6" s="112" t="str">
        <x:v>Продолжение разработки на недостоверных данных и неработающих обменах</x:v>
      </x:c>
      <x:c r="C6" s="112" t="n">
        <x:v>5</x:v>
      </x:c>
      <x:c r="D6" s="112" t="n">
        <x:v>5</x:v>
      </x:c>
      <x:c r="E6" s="112" t="n">
        <x:f>C6*D6</x:f>
        <x:v>25</x:v>
      </x:c>
      <x:c r="F6" s="112" t="str">
        <x:f>IF(E6&gt;=20,"Критический",IF(E6&gt;=12,"Высокий",IF(E6&gt;=6,"Средний","Низкий")))</x:f>
        <x:v>Критический</x:v>
      </x:c>
      <x:c r="G6" s="112" t="str">
        <x:v>P0</x:v>
      </x:c>
      <x:c r="H6" s="112" t="str">
        <x:v>Руководитель проекта</x:v>
      </x:c>
      <x:c r="I6" s="112" t="str">
        <x:v>Freeze крупных функций до G1; контрольный магазин/день</x:v>
      </x:c>
      <x:c r="J6" s="113" t="str">
        <x:v>Контрольные суммы/аналитики не сходятся</x:v>
      </x:c>
    </x:row>
    <x:row r="7" ht="56" customHeight="1">
      <x:c r="A7" s="111" t="str">
        <x:v>R-03</x:v>
      </x:c>
      <x:c r="B7" s="112" t="str">
        <x:v>Потеря подразделений, складов и касс при обмене между базами</x:v>
      </x:c>
      <x:c r="C7" s="112" t="n">
        <x:v>5</x:v>
      </x:c>
      <x:c r="D7" s="112" t="n">
        <x:v>5</x:v>
      </x:c>
      <x:c r="E7" s="112" t="n">
        <x:f>C7*D7</x:f>
        <x:v>25</x:v>
      </x:c>
      <x:c r="F7" s="112" t="str">
        <x:f>IF(E7&gt;=20,"Критический",IF(E7&gt;=12,"Высокий",IF(E7&gt;=6,"Средний","Низкий")))</x:f>
        <x:v>Критический</x:v>
      </x:c>
      <x:c r="G7" s="112" t="str">
        <x:v>P0</x:v>
      </x:c>
      <x:c r="H7" s="112" t="str">
        <x:v>ИТ + финансы</x:v>
      </x:c>
      <x:c r="I7" s="112" t="str">
        <x:v>Таблица соответствий, исправление mapping, перепроведение на копии</x:v>
      </x:c>
      <x:c r="J7" s="113" t="str">
        <x:v>Документ/регистр без обязательной аналитики</x:v>
      </x:c>
    </x:row>
    <x:row r="8" ht="56" customHeight="1">
      <x:c r="A8" s="111" t="str">
        <x:v>R-04</x:v>
      </x:c>
      <x:c r="B8" s="112" t="str">
        <x:v>Непроведённые документы считаются успешно загруженными</x:v>
      </x:c>
      <x:c r="C8" s="112" t="n">
        <x:v>5</x:v>
      </x:c>
      <x:c r="D8" s="112" t="n">
        <x:v>5</x:v>
      </x:c>
      <x:c r="E8" s="112" t="n">
        <x:f>C8*D8</x:f>
        <x:v>25</x:v>
      </x:c>
      <x:c r="F8" s="112" t="str">
        <x:f>IF(E8&gt;=20,"Критический",IF(E8&gt;=12,"Высокий",IF(E8&gt;=6,"Средний","Низкий")))</x:f>
        <x:v>Критический</x:v>
      </x:c>
      <x:c r="G8" s="112" t="str">
        <x:v>P0</x:v>
      </x:c>
      <x:c r="H8" s="112" t="str">
        <x:v>Владелец 1С</x:v>
      </x:c>
      <x:c r="I8" s="112" t="str">
        <x:v>Exception queue и правило «проведён либо исключение»</x:v>
      </x:c>
      <x:c r="J8" s="113" t="str">
        <x:v>Записанный документ без движений</x:v>
      </x:c>
    </x:row>
    <x:row r="9" ht="56" customHeight="1">
      <x:c r="A9" s="111" t="str">
        <x:v>R-05</x:v>
      </x:c>
      <x:c r="B9" s="112" t="str">
        <x:v>Отрицательные остатки и ручная себестоимость искажают финансовый результат</x:v>
      </x:c>
      <x:c r="C9" s="112" t="n">
        <x:v>5</x:v>
      </x:c>
      <x:c r="D9" s="112" t="n">
        <x:v>5</x:v>
      </x:c>
      <x:c r="E9" s="112" t="n">
        <x:f>C9*D9</x:f>
        <x:v>25</x:v>
      </x:c>
      <x:c r="F9" s="112" t="str">
        <x:f>IF(E9&gt;=20,"Критический",IF(E9&gt;=12,"Высокий",IF(E9&gt;=6,"Средний","Низкий")))</x:f>
        <x:v>Критический</x:v>
      </x:c>
      <x:c r="G9" s="112" t="str">
        <x:v>P0</x:v>
      </x:c>
      <x:c r="H9" s="112" t="str">
        <x:v>Финансовый директор</x:v>
      </x:c>
      <x:c r="I9" s="112" t="str">
        <x:v>Реестр причин, контрольные SKU, запрет технических корректировок</x:v>
      </x:c>
      <x:c r="J9" s="113" t="str">
        <x:v>Необъяснённый минус/нулевая стоимость</x:v>
      </x:c>
    </x:row>
    <x:row r="10" ht="56" customHeight="1">
      <x:c r="A10" s="111" t="str">
        <x:v>R-06</x:v>
      </x:c>
      <x:c r="B10" s="112" t="str">
        <x:v>Неутверждённые формулы заказа, цены, маржи и P&amp;L будут автоматизированы как предположения</x:v>
      </x:c>
      <x:c r="C10" s="112" t="n">
        <x:v>4</x:v>
      </x:c>
      <x:c r="D10" s="112" t="n">
        <x:v>5</x:v>
      </x:c>
      <x:c r="E10" s="112" t="n">
        <x:f>C10*D10</x:f>
        <x:v>20</x:v>
      </x:c>
      <x:c r="F10" s="112" t="str">
        <x:f>IF(E10&gt;=20,"Критический",IF(E10&gt;=12,"Высокий",IF(E10&gt;=6,"Средний","Низкий")))</x:f>
        <x:v>Критический</x:v>
      </x:c>
      <x:c r="G10" s="112" t="str">
        <x:v>P0</x:v>
      </x:c>
      <x:c r="H10" s="112" t="str">
        <x:v>Бизнес-владельцы</x:v>
      </x:c>
      <x:c r="I10" s="112" t="str">
        <x:v>G2 как обязательный gate, паспорта показателей и decision log</x:v>
      </x:c>
      <x:c r="J10" s="113" t="str">
        <x:v>Разработчик вынужден выбрать формулу без решения</x:v>
      </x:c>
    </x:row>
    <x:row r="11" ht="56" customHeight="1">
      <x:c r="A11" s="111" t="str">
        <x:v>R-07</x:v>
      </x:c>
      <x:c r="B11" s="112" t="str">
        <x:v>Пилотные поставщики и контрольные SKU не выбраны вовремя</x:v>
      </x:c>
      <x:c r="C11" s="112" t="n">
        <x:v>4</x:v>
      </x:c>
      <x:c r="D11" s="112" t="n">
        <x:v>4</x:v>
      </x:c>
      <x:c r="E11" s="112" t="n">
        <x:f>C11*D11</x:f>
        <x:v>16</x:v>
      </x:c>
      <x:c r="F11" s="112" t="str">
        <x:f>IF(E11&gt;=20,"Критический",IF(E11&gt;=12,"Высокий",IF(E11&gt;=6,"Средний","Низкий")))</x:f>
        <x:v>Высокий</x:v>
      </x:c>
      <x:c r="G11" s="112" t="str">
        <x:v>P1</x:v>
      </x:c>
      <x:c r="H11" s="112" t="str">
        <x:v>Руководитель КМ</x:v>
      </x:c>
      <x:c r="I11" s="112" t="str">
        <x:v>Решение D-02 до завершения P2; резервный список</x:v>
      </x:c>
      <x:c r="J11" s="113" t="str">
        <x:v>Нет golden profiles к неделе 8</x:v>
      </x:c>
    </x:row>
    <x:row r="12" ht="56" customHeight="1">
      <x:c r="A12" s="111" t="str">
        <x:v>R-08</x:v>
      </x:c>
      <x:c r="B12" s="112" t="str">
        <x:v>GitHub Actions заблокирован лимитом/оплатой и open PR не получают CI evidence</x:v>
      </x:c>
      <x:c r="C12" s="112" t="n">
        <x:v>4</x:v>
      </x:c>
      <x:c r="D12" s="112" t="n">
        <x:v>4</x:v>
      </x:c>
      <x:c r="E12" s="112" t="n">
        <x:f>C12*D12</x:f>
        <x:v>16</x:v>
      </x:c>
      <x:c r="F12" s="112" t="str">
        <x:f>IF(E12&gt;=20,"Критический",IF(E12&gt;=12,"Высокий",IF(E12&gt;=6,"Средний","Низкий")))</x:f>
        <x:v>Высокий</x:v>
      </x:c>
      <x:c r="G12" s="112" t="str">
        <x:v>P1</x:v>
      </x:c>
      <x:c r="H12" s="112" t="str">
        <x:v>ИТ / владелец GitHub</x:v>
      </x:c>
      <x:c r="I12" s="112" t="str">
        <x:v>Разблокировать billing; временно локальные evidence не считать финальной приёмкой</x:v>
      </x:c>
      <x:c r="J12" s="113" t="str">
        <x:v>Jobs не стартуют</x:v>
      </x:c>
    </x:row>
    <x:row r="13" ht="56" customHeight="1">
      <x:c r="A13" s="111" t="str">
        <x:v>R-09</x:v>
      </x:c>
      <x:c r="B13" s="112" t="str">
        <x:v>Stacked PR WORK-006…009 будут слиты в неверной последовательности или с конфликтами</x:v>
      </x:c>
      <x:c r="C13" s="112" t="n">
        <x:v>3</x:v>
      </x:c>
      <x:c r="D13" s="112" t="n">
        <x:v>4</x:v>
      </x:c>
      <x:c r="E13" s="112" t="n">
        <x:f>C13*D13</x:f>
        <x:v>12</x:v>
      </x:c>
      <x:c r="F13" s="112" t="str">
        <x:f>IF(E13&gt;=20,"Критический",IF(E13&gt;=12,"Высокий",IF(E13&gt;=6,"Средний","Низкий")))</x:f>
        <x:v>Высокий</x:v>
      </x:c>
      <x:c r="G13" s="112" t="str">
        <x:v>P1</x:v>
      </x:c>
      <x:c r="H13" s="112" t="str">
        <x:v>Технический лидер</x:v>
      </x:c>
      <x:c r="I13" s="112" t="str">
        <x:v>Инвентаризация веток, rebase/retarget, отдельный review каждого diff</x:v>
      </x:c>
      <x:c r="J13" s="113" t="str">
        <x:v>Base branch не находится в main</x:v>
      </x:c>
    </x:row>
    <x:row r="14" ht="56" customHeight="1">
      <x:c r="A14" s="111" t="str">
        <x:v>R-10</x:v>
      </x:c>
      <x:c r="B14" s="112" t="str">
        <x:v>Изменение шаблона поставщика приведёт к неверному разбору без заметной ошибки</x:v>
      </x:c>
      <x:c r="C14" s="112" t="n">
        <x:v>4</x:v>
      </x:c>
      <x:c r="D14" s="112" t="n">
        <x:v>4</x:v>
      </x:c>
      <x:c r="E14" s="112" t="n">
        <x:f>C14*D14</x:f>
        <x:v>16</x:v>
      </x:c>
      <x:c r="F14" s="112" t="str">
        <x:f>IF(E14&gt;=20,"Критический",IF(E14&gt;=12,"Высокий",IF(E14&gt;=6,"Средний","Низкий")))</x:f>
        <x:v>Высокий</x:v>
      </x:c>
      <x:c r="G14" s="112" t="str">
        <x:v>P1</x:v>
      </x:c>
      <x:c r="H14" s="112" t="str">
        <x:v>Технический лидер</x:v>
      </x:c>
      <x:c r="I14" s="112" t="str">
        <x:v>TEMPLATE_CHANGED, blocking review, golden regression</x:v>
      </x:c>
      <x:c r="J14" s="113" t="str">
        <x:v>Снижение fingerprint/изменение колонок</x:v>
      </x:c>
    </x:row>
    <x:row r="15" ht="56" customHeight="1">
      <x:c r="A15" s="111" t="str">
        <x:v>R-11</x:v>
      </x:c>
      <x:c r="B15" s="112" t="str">
        <x:v>Неверное автоматическое сопоставление номенклатуры или упаковки</x:v>
      </x:c>
      <x:c r="C15" s="112" t="n">
        <x:v>3</x:v>
      </x:c>
      <x:c r="D15" s="112" t="n">
        <x:v>5</x:v>
      </x:c>
      <x:c r="E15" s="112" t="n">
        <x:f>C15*D15</x:f>
        <x:v>15</x:v>
      </x:c>
      <x:c r="F15" s="112" t="str">
        <x:f>IF(E15&gt;=20,"Критический",IF(E15&gt;=12,"Высокий",IF(E15&gt;=6,"Средний","Низкий")))</x:f>
        <x:v>Высокий</x:v>
      </x:c>
      <x:c r="G15" s="112" t="str">
        <x:v>P1</x:v>
      </x:c>
      <x:c r="H15" s="112" t="str">
        <x:v>Категорийный менеджмент</x:v>
      </x:c>
      <x:c r="I15" s="112" t="str">
        <x:v>Fuzzy только кандидат; manual confirmation; audit/versioning</x:v>
      </x:c>
      <x:c r="J15" s="113" t="str">
        <x:v>Ambiguity или конфликт GTIN/упаковки</x:v>
      </x:c>
    </x:row>
    <x:row r="16" ht="56" customHeight="1">
      <x:c r="A16" s="111" t="str">
        <x:v>R-12</x:v>
      </x:c>
      <x:c r="B16" s="112" t="str">
        <x:v>OCR будет воспринят как фактическая приёмка или основание автопроведения</x:v>
      </x:c>
      <x:c r="C16" s="112" t="n">
        <x:v>2</x:v>
      </x:c>
      <x:c r="D16" s="112" t="n">
        <x:v>5</x:v>
      </x:c>
      <x:c r="E16" s="112" t="n">
        <x:f>C16*D16</x:f>
        <x:v>10</x:v>
      </x:c>
      <x:c r="F16" s="112" t="str">
        <x:f>IF(E16&gt;=20,"Критический",IF(E16&gt;=12,"Высокий",IF(E16&gt;=6,"Средний","Низкий")))</x:f>
        <x:v>Средний</x:v>
      </x:c>
      <x:c r="G16" s="112" t="str">
        <x:v>P1</x:v>
      </x:c>
      <x:c r="H16" s="112" t="str">
        <x:v>Архитектурный комитет</x:v>
      </x:c>
      <x:c r="I16" s="112" t="str">
        <x:v>OCR только после ADR и human review; physical scan в 1С</x:v>
      </x:c>
      <x:c r="J16" s="113" t="str">
        <x:v>Попытка auto-post из OCR</x:v>
      </x:c>
    </x:row>
    <x:row r="17" ht="56" customHeight="1">
      <x:c r="A17" s="111" t="str">
        <x:v>R-13</x:v>
      </x:c>
      <x:c r="B17" s="112" t="str">
        <x:v>Проект перегружен пожеланиями отделов без приоритизации и owner'ов</x:v>
      </x:c>
      <x:c r="C17" s="112" t="n">
        <x:v>4</x:v>
      </x:c>
      <x:c r="D17" s="112" t="n">
        <x:v>4</x:v>
      </x:c>
      <x:c r="E17" s="112" t="n">
        <x:f>C17*D17</x:f>
        <x:v>16</x:v>
      </x:c>
      <x:c r="F17" s="112" t="str">
        <x:f>IF(E17&gt;=20,"Критический",IF(E17&gt;=12,"Высокий",IF(E17&gt;=6,"Средний","Низкий")))</x:f>
        <x:v>Высокий</x:v>
      </x:c>
      <x:c r="G17" s="112" t="str">
        <x:v>P1</x:v>
      </x:c>
      <x:c r="H17" s="112" t="str">
        <x:v>Координатор</x:v>
      </x:c>
      <x:c r="I17" s="112" t="str">
        <x:v>Реестр требований, P0/P1/P2, waves и acceptance</x:v>
      </x:c>
      <x:c r="J17" s="113" t="str">
        <x:v>Scope добавляется без gate/владельца</x:v>
      </x:c>
    </x:row>
    <x:row r="18" ht="56" customHeight="1">
      <x:c r="A18" s="111" t="str">
        <x:v>R-14</x:v>
      </x:c>
      <x:c r="B18" s="112" t="str">
        <x:v>BI построит красивые отчёты на несверенных источниках</x:v>
      </x:c>
      <x:c r="C18" s="112" t="n">
        <x:v>4</x:v>
      </x:c>
      <x:c r="D18" s="112" t="n">
        <x:v>5</x:v>
      </x:c>
      <x:c r="E18" s="112" t="n">
        <x:f>C18*D18</x:f>
        <x:v>20</x:v>
      </x:c>
      <x:c r="F18" s="112" t="str">
        <x:f>IF(E18&gt;=20,"Критический",IF(E18&gt;=12,"Высокий",IF(E18&gt;=6,"Средний","Низкий")))</x:f>
        <x:v>Критический</x:v>
      </x:c>
      <x:c r="G18" s="112" t="str">
        <x:v>P0</x:v>
      </x:c>
      <x:c r="H18" s="112" t="str">
        <x:v>Финансовый директор / data owner</x:v>
      </x:c>
      <x:c r="I18" s="112" t="str">
        <x:v>G1/G2 до production BI, freshness/DQ и drill-down</x:v>
      </x:c>
      <x:c r="J18" s="113" t="str">
        <x:v>Показатель не сверяется до документа</x:v>
      </x:c>
    </x:row>
    <x:row r="19" ht="56" customHeight="1">
      <x:c r="A19" s="111" t="str">
        <x:v>R-15</x:v>
      </x:c>
      <x:c r="B19" s="112" t="str">
        <x:v>Массовое перепроведение повредит рабочую базу или изменит закрытые периоды</x:v>
      </x:c>
      <x:c r="C19" s="112" t="n">
        <x:v>3</x:v>
      </x:c>
      <x:c r="D19" s="112" t="n">
        <x:v>5</x:v>
      </x:c>
      <x:c r="E19" s="112" t="n">
        <x:f>C19*D19</x:f>
        <x:v>15</x:v>
      </x:c>
      <x:c r="F19" s="112" t="str">
        <x:f>IF(E19&gt;=20,"Критический",IF(E19&gt;=12,"Высокий",IF(E19&gt;=6,"Средний","Низкий")))</x:f>
        <x:v>Высокий</x:v>
      </x:c>
      <x:c r="G19" s="112" t="str">
        <x:v>P1</x:v>
      </x:c>
      <x:c r="H19" s="112" t="str">
        <x:v>Владелец 1С</x:v>
      </x:c>
      <x:c r="I19" s="112" t="str">
        <x:v>Только копия, off-hours, backup/rollback, протокол выборки</x:v>
      </x:c>
      <x:c r="J19" s="113" t="str">
        <x:v>Изменение большого периода без теста</x:v>
      </x:c>
    </x:row>
    <x:row r="20" ht="56" customHeight="1">
      <x:c r="A20" s="111" t="str">
        <x:v>R-16</x:v>
      </x:c>
      <x:c r="B20" s="112" t="str">
        <x:v>Широкие права к платёжным/финансовым данным и коммерческим файлам</x:v>
      </x:c>
      <x:c r="C20" s="112" t="n">
        <x:v>4</x:v>
      </x:c>
      <x:c r="D20" s="112" t="n">
        <x:v>4</x:v>
      </x:c>
      <x:c r="E20" s="112" t="n">
        <x:f>C20*D20</x:f>
        <x:v>16</x:v>
      </x:c>
      <x:c r="F20" s="112" t="str">
        <x:f>IF(E20&gt;=20,"Критический",IF(E20&gt;=12,"Высокий",IF(E20&gt;=6,"Средний","Низкий")))</x:f>
        <x:v>Высокий</x:v>
      </x:c>
      <x:c r="G20" s="112" t="str">
        <x:v>P1</x:v>
      </x:c>
      <x:c r="H20" s="112" t="str">
        <x:v>Data owners / ИТ</x:v>
      </x:c>
      <x:c r="I20" s="112" t="str">
        <x:v>RBAC, least privilege, audit, отзыв временных доступов</x:v>
      </x:c>
      <x:c r="J20" s="113" t="str">
        <x:v>Редактирование «по ссылке» или секреты в Git</x:v>
      </x:c>
    </x:row>
    <x:row r="21" ht="56" customHeight="1">
      <x:c r="A21" s="111" t="str">
        <x:v>R-17</x:v>
      </x:c>
      <x:c r="B21" s="112" t="str">
        <x:v>Пользователи не примут новые рабочие места и продолжат Excel/чаты</x:v>
      </x:c>
      <x:c r="C21" s="112" t="n">
        <x:v>3</x:v>
      </x:c>
      <x:c r="D21" s="112" t="n">
        <x:v>4</x:v>
      </x:c>
      <x:c r="E21" s="112" t="n">
        <x:f>C21*D21</x:f>
        <x:v>12</x:v>
      </x:c>
      <x:c r="F21" s="112" t="str">
        <x:f>IF(E21&gt;=20,"Критический",IF(E21&gt;=12,"Высокий",IF(E21&gt;=6,"Средний","Низкий")))</x:f>
        <x:v>Высокий</x:v>
      </x:c>
      <x:c r="G21" s="112" t="str">
        <x:v>P1</x:v>
      </x:c>
      <x:c r="H21" s="112" t="str">
        <x:v>Бизнес-владельцы</x:v>
      </x:c>
      <x:c r="I21" s="112" t="str">
        <x:v>Сценарии UAT, обучение, champions, отключение дублирующего процесса после стабилизации</x:v>
      </x:c>
      <x:c r="J21" s="113" t="str">
        <x:v>Параллельный ручной учёт после rollout</x:v>
      </x:c>
    </x:row>
    <x:row r="22" ht="56" customHeight="1">
      <x:c r="A22" s="111" t="str">
        <x:v>R-18</x:v>
      </x:c>
      <x:c r="B22" s="112" t="str">
        <x:v>Ресурсы 1С, бизнеса и тестировщиков недостаточны для параллельных потоков</x:v>
      </x:c>
      <x:c r="C22" s="112" t="n">
        <x:v>4</x:v>
      </x:c>
      <x:c r="D22" s="112" t="n">
        <x:v>4</x:v>
      </x:c>
      <x:c r="E22" s="112" t="n">
        <x:f>C22*D22</x:f>
        <x:v>16</x:v>
      </x:c>
      <x:c r="F22" s="112" t="str">
        <x:f>IF(E22&gt;=20,"Критический",IF(E22&gt;=12,"Высокий",IF(E22&gt;=6,"Средний","Низкий")))</x:f>
        <x:v>Высокий</x:v>
      </x:c>
      <x:c r="G22" s="112" t="str">
        <x:v>P1</x:v>
      </x:c>
      <x:c r="H22" s="112" t="str">
        <x:v>Спонсор</x:v>
      </x:c>
      <x:c r="I22" s="112" t="str">
        <x:v>Ресурсный план, WIP limits, критический путь P1→P2→P4/P5</x:v>
      </x:c>
      <x:c r="J22" s="113" t="str">
        <x:v>Просрочка решения/теста более 5 рабочих дней</x:v>
      </x:c>
    </x:row>
    <x:row r="23" ht="56" customHeight="1">
      <x:c r="A23" s="111" t="str">
        <x:v>R-19</x:v>
      </x:c>
      <x:c r="B23" s="112" t="str">
        <x:v>Не определены retention, backup и восстановление object storage/БД</x:v>
      </x:c>
      <x:c r="C23" s="112" t="n">
        <x:v>3</x:v>
      </x:c>
      <x:c r="D23" s="112" t="n">
        <x:v>4</x:v>
      </x:c>
      <x:c r="E23" s="112" t="n">
        <x:f>C23*D23</x:f>
        <x:v>12</x:v>
      </x:c>
      <x:c r="F23" s="112" t="str">
        <x:f>IF(E23&gt;=20,"Критический",IF(E23&gt;=12,"Высокий",IF(E23&gt;=6,"Средний","Низкий")))</x:f>
        <x:v>Высокий</x:v>
      </x:c>
      <x:c r="G23" s="112" t="str">
        <x:v>P1</x:v>
      </x:c>
      <x:c r="H23" s="112" t="str">
        <x:v>ИТ</x:v>
      </x:c>
      <x:c r="I23" s="112" t="str">
        <x:v>Data policy, RPO/RTO, restore drill до production</x:v>
      </x:c>
      <x:c r="J23" s="113" t="str">
        <x:v>Нет подтверждённого восстановления</x:v>
      </x:c>
    </x:row>
    <x:row r="24" ht="56" customHeight="1">
      <x:c r="A24" s="114" t="str">
        <x:v>R-20</x:v>
      </x:c>
      <x:c r="B24" s="115" t="str">
        <x:v>Зависимость от отдельных сотрудников и внешнего подрядчика сохраняется</x:v>
      </x:c>
      <x:c r="C24" s="115" t="n">
        <x:v>4</x:v>
      </x:c>
      <x:c r="D24" s="115" t="n">
        <x:v>4</x:v>
      </x:c>
      <x:c r="E24" s="115" t="n">
        <x:f>C24*D24</x:f>
        <x:v>16</x:v>
      </x:c>
      <x:c r="F24" s="115" t="str">
        <x:f>IF(E24&gt;=20,"Критический",IF(E24&gt;=12,"Высокий",IF(E24&gt;=6,"Средний","Низкий")))</x:f>
        <x:v>Высокий</x:v>
      </x:c>
      <x:c r="G24" s="115" t="str">
        <x:v>P1</x:v>
      </x:c>
      <x:c r="H24" s="115" t="str">
        <x:v>Спонсор / руководитель проекта</x:v>
      </x:c>
      <x:c r="I24" s="115" t="str">
        <x:v>Handover, runbooks, shared ownership, минимум два обученных исполнителя</x:v>
      </x:c>
      <x:c r="J24" s="116" t="str">
        <x:v>Критическая операция доступна одному человеку</x:v>
      </x:c>
    </x:row>
    <x:row r="25">
      <x:c r="A25" t="str">
        <x:v>R-21</x:v>
      </x:c>
      <x:c r="B25" t="str">
        <x:v>Корпоративная архитектура «Форус» и ADR-001 будут трактоваться как две независимые целевые схемы</x:v>
      </x:c>
      <x:c r="C25" t="n">
        <x:v>4</x:v>
      </x:c>
      <x:c r="D25" t="n">
        <x:v>5</x:v>
      </x:c>
      <x:c r="E25" t="n">
        <x:f>C25*D25</x:f>
        <x:v>20</x:v>
      </x:c>
      <x:c r="F25" t="str">
        <x:f>IF(E25&gt;=20,"Критический",IF(E25&gt;=12,"Высокий",IF(E25&gt;=6,"Средний","Низкий")))</x:f>
        <x:v>Критический</x:v>
      </x:c>
      <x:c r="G25" t="str">
        <x:v>P0</x:v>
      </x:c>
      <x:c r="H25" t="str">
        <x:v>Архитектурный комитет</x:v>
      </x:c>
      <x:c r="I25" t="str">
        <x:v>ADR-004: единая карта компонентов; сервис как спутник центральной УТ</x:v>
      </x:c>
      <x:c r="J25" t="str">
        <x:v>Команды реализуют разные точки master-data и интеграции</x:v>
      </x:c>
    </x:row>
    <x:row r="26">
      <x:c r="A26" t="str">
        <x:v>R-22</x:v>
      </x:c>
      <x:c r="B26" t="str">
        <x:v>Frontol будет отключён до подтверждённой автономности и синхронизации 1С:Розницы</x:v>
      </x:c>
      <x:c r="C26" t="n">
        <x:v>3</x:v>
      </x:c>
      <x:c r="D26" t="n">
        <x:v>5</x:v>
      </x:c>
      <x:c r="E26" t="n">
        <x:f>C26*D26</x:f>
        <x:v>15</x:v>
      </x:c>
      <x:c r="F26" t="str">
        <x:f>IF(E26&gt;=20,"Критический",IF(E26&gt;=12,"Высокий",IF(E26&gt;=6,"Средний","Низкий")))</x:f>
        <x:v>Высокий</x:v>
      </x:c>
      <x:c r="G26" t="str">
        <x:v>P0</x:v>
      </x:c>
      <x:c r="H26" t="str">
        <x:v>Розница / ИТ</x:v>
      </x:c>
      <x:c r="I26" t="str">
        <x:v>Поэтапный coexistence, контрольный магазин, rollback и business continuity test</x:v>
      </x:c>
      <x:c r="J26" t="str">
        <x:v>Магазин не может продавать или досинхронизировать смену</x:v>
      </x:c>
    </x:row>
    <x:row r="27">
      <x:c r="A27" t="str">
        <x:v>R-23</x:v>
      </x:c>
      <x:c r="B27" t="str">
        <x:v>Рост числа обменов БП–УТ–Розница–КСО приведёт к молчаливым задержкам, дублям и непроведённым документам</x:v>
      </x:c>
      <x:c r="C27" t="n">
        <x:v>5</x:v>
      </x:c>
      <x:c r="D27" t="n">
        <x:v>5</x:v>
      </x:c>
      <x:c r="E27" t="n">
        <x:f>C27*D27</x:f>
        <x:v>25</x:v>
      </x:c>
      <x:c r="F27" t="str">
        <x:f>IF(E27&gt;=20,"Критический",IF(E27&gt;=12,"Высокий",IF(E27&gt;=6,"Средний","Низкий")))</x:f>
        <x:v>Критический</x:v>
      </x:c>
      <x:c r="G27" t="str">
        <x:v>P0</x:v>
      </x:c>
      <x:c r="H27" t="str">
        <x:v>ИТ</x:v>
      </x:c>
      <x:c r="I27" t="str">
        <x:v>Каталог обменов, SLA, контрольные суммы, exception queue, dashboard и reconciliation</x:v>
      </x:c>
      <x:c r="J27" t="str">
        <x:v>Неизвестный статус пакета/документа более SLA</x:v>
      </x:c>
    </x:row>
    <x:row r="28">
      <x:c r="A28" t="str">
        <x:v>R-24</x:v>
      </x:c>
      <x:c r="B28" t="str">
        <x:v>Закрытый код расширений блокирует поддержку, обновление или исправление критической функции</x:v>
      </x:c>
      <x:c r="C28" t="n">
        <x:v>4</x:v>
      </x:c>
      <x:c r="D28" t="n">
        <x:v>5</x:v>
      </x:c>
      <x:c r="E28" t="n">
        <x:f>C28*D28</x:f>
        <x:v>20</x:v>
      </x:c>
      <x:c r="F28" t="str">
        <x:f>IF(E28&gt;=20,"Критический",IF(E28&gt;=12,"Высокий",IF(E28&gt;=6,"Средний","Низкий")))</x:f>
        <x:v>Критический</x:v>
      </x:c>
      <x:c r="G28" t="str">
        <x:v>P0</x:v>
      </x:c>
      <x:c r="H28" t="str">
        <x:v>Спонсор / юрист / ИТ</x:v>
      </x:c>
      <x:c r="I28" t="str">
        <x:v>Получить исходники и права либо утвердить замену; запрет cutover без решения</x:v>
      </x:c>
      <x:c r="J28" t="str">
        <x:v>Нет исходника/лицензии для ХЛ_PNL, Premium или Помощника закупок</x:v>
      </x:c>
    </x:row>
    <x:row r="29">
      <x:c r="A29" t="str">
        <x:v>R-25</x:v>
      </x:c>
      <x:c r="B29" t="str">
        <x:v>Отключение расширения приведёт к потере собственных регистров, справочников или реквизитов</x:v>
      </x:c>
      <x:c r="C29" t="n">
        <x:v>4</x:v>
      </x:c>
      <x:c r="D29" t="n">
        <x:v>5</x:v>
      </x:c>
      <x:c r="E29" t="n">
        <x:f>C29*D29</x:f>
        <x:v>20</x:v>
      </x:c>
      <x:c r="F29" t="str">
        <x:f>IF(E29&gt;=20,"Критический",IF(E29&gt;=12,"Высокий",IF(E29&gt;=6,"Средний","Низкий")))</x:f>
        <x:v>Критический</x:v>
      </x:c>
      <x:c r="G29" t="str">
        <x:v>P0</x:v>
      </x:c>
      <x:c r="H29" t="str">
        <x:v>Владелец 1С / data owners</x:v>
      </x:c>
      <x:c r="I29" t="str">
        <x:v>Инвентаризация данных, export, mapping, контрольные суммы, backup/rollback</x:v>
      </x:c>
      <x:c r="J29" t="str">
        <x:v>Удаление/отключение меняет объём данных или отчётность</x:v>
      </x:c>
    </x:row>
    <x:row r="30">
      <x:c r="A30" t="str">
        <x:v>R-26</x:v>
      </x:c>
      <x:c r="B30" t="str">
        <x:v>Нестандартный «ПомощникЗакупок» конфликтует с новой автоматизацией заказа и создаёт двойную логику</x:v>
      </x:c>
      <x:c r="C30" t="n">
        <x:v>5</x:v>
      </x:c>
      <x:c r="D30" t="n">
        <x:v>4</x:v>
      </x:c>
      <x:c r="E30" t="n">
        <x:f>C30*D30</x:f>
        <x:v>20</x:v>
      </x:c>
      <x:c r="F30" t="str">
        <x:f>IF(E30&gt;=20,"Критический",IF(E30&gt;=12,"Высокий",IF(E30&gt;=6,"Средний","Низкий")))</x:f>
        <x:v>Критический</x:v>
      </x:c>
      <x:c r="G30" t="str">
        <x:v>P0</x:v>
      </x:c>
      <x:c r="H30" t="str">
        <x:v>КМ / владелец 1С</x:v>
      </x:c>
      <x:c r="I30" t="str">
        <x:v>Функциональная декомпозиция, запрет переноса as-is, phased replacement и UAT</x:v>
      </x:c>
      <x:c r="J30" t="str">
        <x:v>Две системы формируют разные рекомендации/документы</x:v>
      </x:c>
    </x:row>
    <x:row r="31">
      <x:c r="A31" t="str">
        <x:v>R-27</x:v>
      </x:c>
      <x:c r="B31" t="str">
        <x:v>Централизация НСИ, цен и прав масштабирует существующие дубли и ошибки на всю франшизу</x:v>
      </x:c>
      <x:c r="C31" t="n">
        <x:v>4</x:v>
      </x:c>
      <x:c r="D31" t="n">
        <x:v>5</x:v>
      </x:c>
      <x:c r="E31" t="n">
        <x:f>C31*D31</x:f>
        <x:v>20</x:v>
      </x:c>
      <x:c r="F31" t="str">
        <x:f>IF(E31&gt;=20,"Критический",IF(E31&gt;=12,"Высокий",IF(E31&gt;=6,"Средний","Низкий")))</x:f>
        <x:v>Критический</x:v>
      </x:c>
      <x:c r="G31" t="str">
        <x:v>P0</x:v>
      </x:c>
      <x:c r="H31" t="str">
        <x:v>Владелец НСИ / коммерция / ИТ</x:v>
      </x:c>
      <x:c r="I31" t="str">
        <x:v>Data cleansing, ownership, dry-run миграция и ограниченный rollout</x:v>
      </x:c>
      <x:c r="J31" t="str">
        <x:v>Дубли SKU/цен/ролей появляются в нескольких регионах</x:v>
      </x:c>
    </x:row>
    <x:row r="32">
      <x:c r="A32" t="str">
        <x:v>R-28</x:v>
      </x:c>
      <x:c r="B32" t="str">
        <x:v>Неутверждённый приоритет скидок 1С и MAXMA искажает цену, маржу и отчётность</x:v>
      </x:c>
      <x:c r="C32" t="n">
        <x:v>3</x:v>
      </x:c>
      <x:c r="D32" t="n">
        <x:v>5</x:v>
      </x:c>
      <x:c r="E32" t="n">
        <x:f>C32*D32</x:f>
        <x:v>15</x:v>
      </x:c>
      <x:c r="F32" t="str">
        <x:f>IF(E32&gt;=20,"Критический",IF(E32&gt;=12,"Высокий",IF(E32&gt;=6,"Средний","Низкий")))</x:f>
        <x:v>Высокий</x:v>
      </x:c>
      <x:c r="G32" t="str">
        <x:v>P1</x:v>
      </x:c>
      <x:c r="H32" t="str">
        <x:v>Коммерция / финансы / ИТ</x:v>
      </x:c>
      <x:c r="I32" t="str">
        <x:v>Правила precedence, тестовые корзины, аудит и rollback промо</x:v>
      </x:c>
      <x:c r="J32" t="str">
        <x:v>Продажная цена расходится с утверждённой/расчётной</x:v>
      </x:c>
    </x:row>
    <x:row r="33" ht="58" customHeight="1">
      <x:c r="A33" s="1060" t="str">
        <x:v>R-29</x:v>
      </x:c>
      <x:c r="B33" s="1060" t="str">
        <x:v>Масштабирование тиражирует неочищенные НСИ, неверные цены и нестабильные обмены на новые регионы</x:v>
      </x:c>
      <x:c r="C33" s="1060" t="n">
        <x:v>4</x:v>
      </x:c>
      <x:c r="D33" s="1060" t="n">
        <x:v>5</x:v>
      </x:c>
      <x:c r="E33" s="1060" t="n">
        <x:f>C33*D33</x:f>
        <x:v>20</x:v>
      </x:c>
      <x:c r="F33" s="1060" t="str">
        <x:v>Критический</x:v>
      </x:c>
      <x:c r="G33" s="1060" t="str">
        <x:v>P0</x:v>
      </x:c>
      <x:c r="H33" s="1060" t="str">
        <x:v>Соучредитель / владелец НСИ / ИТ</x:v>
      </x:c>
      <x:c r="I33" s="1060" t="str">
        <x:v>Не масштабировать до G1/G2; dry-run, контрольный регион, data quality и rollback</x:v>
      </x:c>
      <x:c r="J33" s="1060" t="str">
        <x:v>Рост числа дублей/ошибок после подключения нового узла</x:v>
      </x:c>
    </x:row>
    <x:row r="34" ht="58" customHeight="1">
      <x:c r="A34" s="1060" t="str">
        <x:v>R-30</x:v>
      </x:c>
      <x:c r="B34" s="1060" t="str">
        <x:v>Региональный или стратегический отчёт выглядит полным при отсутствии части магазинов/узлов</x:v>
      </x:c>
      <x:c r="C34" s="1060" t="n">
        <x:v>4</x:v>
      </x:c>
      <x:c r="D34" s="1060" t="n">
        <x:v>5</x:v>
      </x:c>
      <x:c r="E34" s="1060" t="n">
        <x:f>C34*D34</x:f>
        <x:v>20</x:v>
      </x:c>
      <x:c r="F34" s="1060" t="str">
        <x:v>Критический</x:v>
      </x:c>
      <x:c r="G34" s="1060" t="str">
        <x:v>P0</x:v>
      </x:c>
      <x:c r="H34" s="1060" t="str">
        <x:v>Data owner / BI / ИТ</x:v>
      </x:c>
      <x:c r="I34" s="1060" t="str">
        <x:v>Freshness и completeness по каждой точке, блокировка официального среза при пропусках</x:v>
      </x:c>
      <x:c r="J34" s="1060" t="str">
        <x:v>Нет обновления точки дольше SLA</x:v>
      </x:c>
    </x:row>
    <x:row r="35" ht="58" customHeight="1">
      <x:c r="A35" s="1060" t="str">
        <x:v>R-31</x:v>
      </x:c>
      <x:c r="B35" s="1060" t="str">
        <x:v>В отчёт продаж попадают проведённые, но не отгруженные или не подтверждённые кассовым фактом документы</x:v>
      </x:c>
      <x:c r="C35" s="1060" t="n">
        <x:v>4</x:v>
      </x:c>
      <x:c r="D35" s="1060" t="n">
        <x:v>5</x:v>
      </x:c>
      <x:c r="E35" s="1060" t="n">
        <x:f>C35*D35</x:f>
        <x:v>20</x:v>
      </x:c>
      <x:c r="F35" s="1060" t="str">
        <x:v>Критический</x:v>
      </x:c>
      <x:c r="G35" s="1060" t="str">
        <x:v>P0</x:v>
      </x:c>
      <x:c r="H35" s="1060" t="str">
        <x:v>Операционный директор / финансы</x:v>
      </x:c>
      <x:c r="I35" s="1060" t="str">
        <x:v>Утвердить факт продажи, reconciliation с отгрузкой/чеком, exception queue</x:v>
      </x:c>
      <x:c r="J35" s="1060" t="str">
        <x:v>Выручка не совпадает с отгрузкой/кассой</x:v>
      </x:c>
    </x:row>
    <x:row r="36" ht="58" customHeight="1">
      <x:c r="A36" s="1060" t="str">
        <x:v>R-32</x:v>
      </x:c>
      <x:c r="B36" s="1060" t="str">
        <x:v>Операционное управление продажами остаётся в Excel и чатах без единого владельца, срока и истории</x:v>
      </x:c>
      <x:c r="C36" s="1060" t="n">
        <x:v>4</x:v>
      </x:c>
      <x:c r="D36" s="1060" t="n">
        <x:v>4</x:v>
      </x:c>
      <x:c r="E36" s="1060" t="n">
        <x:f>C36*D36</x:f>
        <x:v>16</x:v>
      </x:c>
      <x:c r="F36" s="1060" t="str">
        <x:v>Высокий</x:v>
      </x:c>
      <x:c r="G36" s="1060" t="str">
        <x:v>P1</x:v>
      </x:c>
      <x:c r="H36" s="1060" t="str">
        <x:v>Операционный директор</x:v>
      </x:c>
      <x:c r="I36" s="1060" t="str">
        <x:v>Единая очередь заказов/отклонений, SLA, роли и ежедневный контроль</x:v>
      </x:c>
      <x:c r="J36" s="1060" t="str">
        <x:v>Просроченный заказ или возврат обнаружен вручную</x:v>
      </x:c>
    </x:row>
  </x:sheetData>
  <x:mergeCells>
    <x:mergeCell ref="A1:J1"/>
    <x:mergeCell ref="A2:J2"/>
  </x:mergeCells>
  <x:conditionalFormatting sqref="E5:E24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F5:F24">
    <x:cfRule type="expression" dxfId="13" priority="2">
      <x:formula>F5="Критический"</x:formula>
    </x:cfRule>
    <x:cfRule type="expression" dxfId="14" priority="3">
      <x:formula>F5="Высокий"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1eed7e1a9204e5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4" hidden="0" customWidth="1"/>
    <x:col min="4" max="4" width="14" hidden="0" customWidth="1"/>
    <x:col min="5" max="5" width="15" hidden="0" customWidth="1"/>
    <x:col min="6" max="6" width="18" hidden="0" customWidth="1"/>
    <x:col min="7" max="7" width="18" hidden="0" customWidth="1"/>
    <x:col min="8" max="8" width="16" hidden="0" customWidth="1"/>
    <x:col min="9" max="9" width="10" hidden="0" customWidth="1"/>
    <x:col min="10" max="10" width="13" hidden="0" customWidth="1"/>
    <x:col min="11" max="11" width="16" hidden="0" customWidth="1"/>
  </x:cols>
  <x:sheetData>
    <x:row r="1" ht="32" customHeight="1">
      <x:c r="A1" s="5" t="str">
        <x:v>Матрица ответственности RACI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8" customHeight="1">
      <x:c r="A2" s="14" t="str">
        <x:v>A — accountable; R — responsible; C — consulted; I — informed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4" ht="32" customHeight="1">
      <x:c r="A4" s="73" t="str">
        <x:v>Область</x:v>
      </x:c>
      <x:c r="B4" s="74" t="str">
        <x:v>Спонсор</x:v>
      </x:c>
      <x:c r="C4" s="74" t="str">
        <x:v>Координатор</x:v>
      </x:c>
      <x:c r="D4" s="74" t="str">
        <x:v>Собственник</x:v>
      </x:c>
      <x:c r="E4" s="74" t="str">
        <x:v>Финдиректор</x:v>
      </x:c>
      <x:c r="F4" s="74" t="str">
        <x:v>Категорийный блок</x:v>
      </x:c>
      <x:c r="G4" s="74" t="str">
        <x:v>Склад/магазины</x:v>
      </x:c>
      <x:c r="H4" s="74" t="str">
        <x:v>ИТ/архитектор</x:v>
      </x:c>
      <x:c r="I4" s="74" t="str">
        <x:v>QA</x:v>
      </x:c>
      <x:c r="J4" s="74" t="str">
        <x:v>BI/Data</x:v>
      </x:c>
      <x:c r="K4" s="75" t="str">
        <x:v>Подрядчик 1С</x:v>
      </x:c>
    </x:row>
    <x:row r="5">
      <x:c r="A5" s="108" t="str">
        <x:v>Спонсорство и бюджет</x:v>
      </x:c>
      <x:c r="B5" s="144" t="str">
        <x:v>A</x:v>
      </x:c>
      <x:c r="C5" s="144" t="str">
        <x:v>R</x:v>
      </x:c>
      <x:c r="D5" s="144" t="str">
        <x:v>C</x:v>
      </x:c>
      <x:c r="E5" s="144" t="str">
        <x:v>C</x:v>
      </x:c>
      <x:c r="F5" s="144" t="str">
        <x:v>C</x:v>
      </x:c>
      <x:c r="G5" s="144" t="str">
        <x:v>I</x:v>
      </x:c>
      <x:c r="H5" s="144" t="str">
        <x:v>C</x:v>
      </x:c>
      <x:c r="I5" s="144" t="str">
        <x:v>I</x:v>
      </x:c>
      <x:c r="J5" s="144" t="str">
        <x:v>I</x:v>
      </x:c>
      <x:c r="K5" s="145" t="str">
        <x:v>I</x:v>
      </x:c>
    </x:row>
    <x:row r="6">
      <x:c r="A6" s="111" t="str">
        <x:v>Единый backlog и план</x:v>
      </x:c>
      <x:c r="B6" s="146" t="str">
        <x:v>I</x:v>
      </x:c>
      <x:c r="C6" s="146" t="str">
        <x:v>A/R</x:v>
      </x:c>
      <x:c r="D6" s="146" t="str">
        <x:v>C</x:v>
      </x:c>
      <x:c r="E6" s="146" t="str">
        <x:v>C</x:v>
      </x:c>
      <x:c r="F6" s="146" t="str">
        <x:v>C</x:v>
      </x:c>
      <x:c r="G6" s="146" t="str">
        <x:v>C</x:v>
      </x:c>
      <x:c r="H6" s="146" t="str">
        <x:v>C</x:v>
      </x:c>
      <x:c r="I6" s="146" t="str">
        <x:v>C</x:v>
      </x:c>
      <x:c r="J6" s="146" t="str">
        <x:v>C</x:v>
      </x:c>
      <x:c r="K6" s="147" t="str">
        <x:v>I</x:v>
      </x:c>
    </x:row>
    <x:row r="7">
      <x:c r="A7" s="111" t="str">
        <x:v>Архитектура и ADR</x:v>
      </x:c>
      <x:c r="B7" s="146" t="str">
        <x:v>A</x:v>
      </x:c>
      <x:c r="C7" s="146" t="str">
        <x:v>C</x:v>
      </x:c>
      <x:c r="D7" s="146" t="str">
        <x:v>C</x:v>
      </x:c>
      <x:c r="E7" s="146" t="str">
        <x:v>C</x:v>
      </x:c>
      <x:c r="F7" s="146" t="str">
        <x:v>C</x:v>
      </x:c>
      <x:c r="G7" s="146" t="str">
        <x:v>C</x:v>
      </x:c>
      <x:c r="H7" s="146" t="str">
        <x:v>R</x:v>
      </x:c>
      <x:c r="I7" s="146" t="str">
        <x:v>C</x:v>
      </x:c>
      <x:c r="J7" s="146" t="str">
        <x:v>C</x:v>
      </x:c>
      <x:c r="K7" s="147" t="str">
        <x:v>C</x:v>
      </x:c>
    </x:row>
    <x:row r="8">
      <x:c r="A8" s="111" t="str">
        <x:v>Стабилизация обменов</x:v>
      </x:c>
      <x:c r="B8" s="146" t="str">
        <x:v>I</x:v>
      </x:c>
      <x:c r="C8" s="146" t="str">
        <x:v>C</x:v>
      </x:c>
      <x:c r="D8" s="146" t="str">
        <x:v>I</x:v>
      </x:c>
      <x:c r="E8" s="146" t="str">
        <x:v>A/C</x:v>
      </x:c>
      <x:c r="F8" s="146" t="str">
        <x:v>I</x:v>
      </x:c>
      <x:c r="G8" s="146" t="str">
        <x:v>C</x:v>
      </x:c>
      <x:c r="H8" s="146" t="str">
        <x:v>R</x:v>
      </x:c>
      <x:c r="I8" s="146" t="str">
        <x:v>C</x:v>
      </x:c>
      <x:c r="J8" s="146" t="str">
        <x:v>I</x:v>
      </x:c>
      <x:c r="K8" s="147" t="str">
        <x:v>R/C</x:v>
      </x:c>
    </x:row>
    <x:row r="9">
      <x:c r="A9" s="111" t="str">
        <x:v>НСИ и mapping</x:v>
      </x:c>
      <x:c r="B9" s="146" t="str">
        <x:v>I</x:v>
      </x:c>
      <x:c r="C9" s="146" t="str">
        <x:v>C</x:v>
      </x:c>
      <x:c r="D9" s="146" t="str">
        <x:v>I</x:v>
      </x:c>
      <x:c r="E9" s="146" t="str">
        <x:v>C</x:v>
      </x:c>
      <x:c r="F9" s="146" t="str">
        <x:v>A/R</x:v>
      </x:c>
      <x:c r="G9" s="146" t="str">
        <x:v>C</x:v>
      </x:c>
      <x:c r="H9" s="146" t="str">
        <x:v>R</x:v>
      </x:c>
      <x:c r="I9" s="146" t="str">
        <x:v>C</x:v>
      </x:c>
      <x:c r="J9" s="146" t="str">
        <x:v>C</x:v>
      </x:c>
      <x:c r="K9" s="147" t="str">
        <x:v>C</x:v>
      </x:c>
    </x:row>
    <x:row r="10">
      <x:c r="A10" s="111" t="str">
        <x:v>Формулы заказа и цены</x:v>
      </x:c>
      <x:c r="B10" s="146" t="str">
        <x:v>I</x:v>
      </x:c>
      <x:c r="C10" s="146" t="str">
        <x:v>C</x:v>
      </x:c>
      <x:c r="D10" s="146" t="str">
        <x:v>C</x:v>
      </x:c>
      <x:c r="E10" s="146" t="str">
        <x:v>C</x:v>
      </x:c>
      <x:c r="F10" s="146" t="str">
        <x:v>A/R</x:v>
      </x:c>
      <x:c r="G10" s="146" t="str">
        <x:v>C</x:v>
      </x:c>
      <x:c r="H10" s="146" t="str">
        <x:v>C</x:v>
      </x:c>
      <x:c r="I10" s="146" t="str">
        <x:v>C</x:v>
      </x:c>
      <x:c r="J10" s="146" t="str">
        <x:v>C</x:v>
      </x:c>
      <x:c r="K10" s="147" t="str">
        <x:v>I</x:v>
      </x:c>
    </x:row>
    <x:row r="11">
      <x:c r="A11" s="111" t="str">
        <x:v>Финансовая методология</x:v>
      </x:c>
      <x:c r="B11" s="146" t="str">
        <x:v>I</x:v>
      </x:c>
      <x:c r="C11" s="146" t="str">
        <x:v>C</x:v>
      </x:c>
      <x:c r="D11" s="146" t="str">
        <x:v>C</x:v>
      </x:c>
      <x:c r="E11" s="146" t="str">
        <x:v>A/R</x:v>
      </x:c>
      <x:c r="F11" s="146" t="str">
        <x:v>C</x:v>
      </x:c>
      <x:c r="G11" s="146" t="str">
        <x:v>C</x:v>
      </x:c>
      <x:c r="H11" s="146" t="str">
        <x:v>C</x:v>
      </x:c>
      <x:c r="I11" s="146" t="str">
        <x:v>C</x:v>
      </x:c>
      <x:c r="J11" s="146" t="str">
        <x:v>R/C</x:v>
      </x:c>
      <x:c r="K11" s="147" t="str">
        <x:v>I</x:v>
      </x:c>
    </x:row>
    <x:row r="12">
      <x:c r="A12" s="111" t="str">
        <x:v>Разработка сервиса и API</x:v>
      </x:c>
      <x:c r="B12" s="146" t="str">
        <x:v>I</x:v>
      </x:c>
      <x:c r="C12" s="146" t="str">
        <x:v>C</x:v>
      </x:c>
      <x:c r="D12" s="146" t="str">
        <x:v>I</x:v>
      </x:c>
      <x:c r="E12" s="146" t="str">
        <x:v>I</x:v>
      </x:c>
      <x:c r="F12" s="146" t="str">
        <x:v>C</x:v>
      </x:c>
      <x:c r="G12" s="146" t="str">
        <x:v>C</x:v>
      </x:c>
      <x:c r="H12" s="146" t="str">
        <x:v>A/R</x:v>
      </x:c>
      <x:c r="I12" s="146" t="str">
        <x:v>R</x:v>
      </x:c>
      <x:c r="J12" s="146" t="str">
        <x:v>I</x:v>
      </x:c>
      <x:c r="K12" s="147" t="str">
        <x:v>C</x:v>
      </x:c>
    </x:row>
    <x:row r="13">
      <x:c r="A13" s="111" t="str">
        <x:v>Расширение 1С заказа</x:v>
      </x:c>
      <x:c r="B13" s="146" t="str">
        <x:v>I</x:v>
      </x:c>
      <x:c r="C13" s="146" t="str">
        <x:v>C</x:v>
      </x:c>
      <x:c r="D13" s="146" t="str">
        <x:v>I</x:v>
      </x:c>
      <x:c r="E13" s="146" t="str">
        <x:v>C</x:v>
      </x:c>
      <x:c r="F13" s="146" t="str">
        <x:v>A</x:v>
      </x:c>
      <x:c r="G13" s="146" t="str">
        <x:v>C</x:v>
      </x:c>
      <x:c r="H13" s="146" t="str">
        <x:v>R</x:v>
      </x:c>
      <x:c r="I13" s="146" t="str">
        <x:v>R</x:v>
      </x:c>
      <x:c r="J13" s="146" t="str">
        <x:v>I</x:v>
      </x:c>
      <x:c r="K13" s="147" t="str">
        <x:v>R/C</x:v>
      </x:c>
    </x:row>
    <x:row r="14">
      <x:c r="A14" s="111" t="str">
        <x:v>Рабочее место приёмки</x:v>
      </x:c>
      <x:c r="B14" s="146" t="str">
        <x:v>I</x:v>
      </x:c>
      <x:c r="C14" s="146" t="str">
        <x:v>C</x:v>
      </x:c>
      <x:c r="D14" s="146" t="str">
        <x:v>I</x:v>
      </x:c>
      <x:c r="E14" s="146" t="str">
        <x:v>C</x:v>
      </x:c>
      <x:c r="F14" s="146" t="str">
        <x:v>C</x:v>
      </x:c>
      <x:c r="G14" s="146" t="str">
        <x:v>A/R</x:v>
      </x:c>
      <x:c r="H14" s="146" t="str">
        <x:v>R</x:v>
      </x:c>
      <x:c r="I14" s="146" t="str">
        <x:v>R</x:v>
      </x:c>
      <x:c r="J14" s="146" t="str">
        <x:v>I</x:v>
      </x:c>
      <x:c r="K14" s="147" t="str">
        <x:v>C</x:v>
      </x:c>
    </x:row>
    <x:row r="15">
      <x:c r="A15" s="111" t="str">
        <x:v>BI и управленческие отчёты</x:v>
      </x:c>
      <x:c r="B15" s="146" t="str">
        <x:v>C</x:v>
      </x:c>
      <x:c r="C15" s="146" t="str">
        <x:v>C</x:v>
      </x:c>
      <x:c r="D15" s="146" t="str">
        <x:v>C</x:v>
      </x:c>
      <x:c r="E15" s="146" t="str">
        <x:v>A</x:v>
      </x:c>
      <x:c r="F15" s="146" t="str">
        <x:v>C</x:v>
      </x:c>
      <x:c r="G15" s="146" t="str">
        <x:v>C</x:v>
      </x:c>
      <x:c r="H15" s="146" t="str">
        <x:v>C</x:v>
      </x:c>
      <x:c r="I15" s="146" t="str">
        <x:v>C</x:v>
      </x:c>
      <x:c r="J15" s="146" t="str">
        <x:v>R</x:v>
      </x:c>
      <x:c r="K15" s="147" t="str">
        <x:v>I</x:v>
      </x:c>
    </x:row>
    <x:row r="16">
      <x:c r="A16" s="111" t="str">
        <x:v>UAT и бизнес-приёмка</x:v>
      </x:c>
      <x:c r="B16" s="146" t="str">
        <x:v>I</x:v>
      </x:c>
      <x:c r="C16" s="146" t="str">
        <x:v>C</x:v>
      </x:c>
      <x:c r="D16" s="146" t="str">
        <x:v>A</x:v>
      </x:c>
      <x:c r="E16" s="146" t="str">
        <x:v>A по фин.</x:v>
      </x:c>
      <x:c r="F16" s="146" t="str">
        <x:v>A по заказу</x:v>
      </x:c>
      <x:c r="G16" s="146" t="str">
        <x:v>A по приёмке</x:v>
      </x:c>
      <x:c r="H16" s="146" t="str">
        <x:v>R/C</x:v>
      </x:c>
      <x:c r="I16" s="146" t="str">
        <x:v>R</x:v>
      </x:c>
      <x:c r="J16" s="146" t="str">
        <x:v>R/C</x:v>
      </x:c>
      <x:c r="K16" s="147" t="str">
        <x:v>C</x:v>
      </x:c>
    </x:row>
    <x:row r="17">
      <x:c r="A17" s="111" t="str">
        <x:v>Релиз, backup и rollback</x:v>
      </x:c>
      <x:c r="B17" s="146" t="str">
        <x:v>I</x:v>
      </x:c>
      <x:c r="C17" s="146" t="str">
        <x:v>C</x:v>
      </x:c>
      <x:c r="D17" s="146" t="str">
        <x:v>I</x:v>
      </x:c>
      <x:c r="E17" s="146" t="str">
        <x:v>C</x:v>
      </x:c>
      <x:c r="F17" s="146" t="str">
        <x:v>I</x:v>
      </x:c>
      <x:c r="G17" s="146" t="str">
        <x:v>I</x:v>
      </x:c>
      <x:c r="H17" s="146" t="str">
        <x:v>A/R</x:v>
      </x:c>
      <x:c r="I17" s="146" t="str">
        <x:v>C</x:v>
      </x:c>
      <x:c r="J17" s="146" t="str">
        <x:v>C</x:v>
      </x:c>
      <x:c r="K17" s="147" t="str">
        <x:v>R/C</x:v>
      </x:c>
    </x:row>
    <x:row r="18">
      <x:c r="A18" s="114" t="str">
        <x:v>Обучение и передача</x:v>
      </x:c>
      <x:c r="B18" s="148" t="str">
        <x:v>I</x:v>
      </x:c>
      <x:c r="C18" s="148" t="str">
        <x:v>A/R</x:v>
      </x:c>
      <x:c r="D18" s="148" t="str">
        <x:v>C</x:v>
      </x:c>
      <x:c r="E18" s="148" t="str">
        <x:v>R</x:v>
      </x:c>
      <x:c r="F18" s="148" t="str">
        <x:v>R</x:v>
      </x:c>
      <x:c r="G18" s="148" t="str">
        <x:v>R</x:v>
      </x:c>
      <x:c r="H18" s="148" t="str">
        <x:v>R</x:v>
      </x:c>
      <x:c r="I18" s="148" t="str">
        <x:v>C</x:v>
      </x:c>
      <x:c r="J18" s="148" t="str">
        <x:v>R</x:v>
      </x:c>
      <x:c r="K18" s="149" t="str">
        <x:v>C</x:v>
      </x:c>
    </x:row>
  </x:sheetData>
  <x:mergeCells>
    <x:mergeCell ref="A1:K1"/>
    <x:mergeCell ref="A2:K2"/>
  </x:mergeCells>
  <x:conditionalFormatting sqref="B5:K18">
    <x:cfRule type="expression" dxfId="15" priority="1">
      <x:formula>ISNUMBER(SEARCH("A",B5))</x:formula>
    </x:cfRule>
    <x:cfRule type="expression" dxfId="16" priority="2">
      <x:formula>ISNUMBER(SEARCH("R",B5))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742b32f2b74a2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0" hidden="0" customWidth="1"/>
    <x:col min="3" max="3" width="30" hidden="0" customWidth="1"/>
    <x:col min="4" max="4" width="16" hidden="0" customWidth="1"/>
    <x:col min="5" max="5" width="12" hidden="0" customWidth="1"/>
    <x:col min="6" max="6" width="16" hidden="0" customWidth="1"/>
    <x:col min="7" max="7" width="46" hidden="0" customWidth="1"/>
  </x:cols>
  <x:sheetData>
    <x:row r="1" ht="32" customHeight="1">
      <x:c r="A1" s="5" t="str">
        <x:v>Решения, требующие утверждения — 46 решений</x:v>
      </x:c>
      <x:c r="B1" s="5"/>
      <x:c r="C1" s="5"/>
      <x:c r="D1" s="5"/>
      <x:c r="E1" s="5"/>
      <x:c r="F1" s="5"/>
      <x:c r="G1" s="5"/>
    </x:row>
    <x:row r="2" ht="28" customHeight="1">
      <x:c r="A2" s="14" t="str">
        <x:v>Неоднозначное решение не кодируется как скрытое предположение</x:v>
      </x:c>
      <x:c r="B2" s="14"/>
      <x:c r="C2" s="14"/>
      <x:c r="D2" s="14"/>
      <x:c r="E2" s="14"/>
      <x:c r="F2" s="14"/>
      <x:c r="G2" s="14"/>
    </x:row>
    <x:row r="4" ht="32" customHeight="1">
      <x:c r="A4" s="73" t="str">
        <x:v>ID</x:v>
      </x:c>
      <x:c r="B4" s="74" t="str">
        <x:v>Решение</x:v>
      </x:c>
      <x:c r="C4" s="74" t="str">
        <x:v>Владелец</x:v>
      </x:c>
      <x:c r="D4" s="74" t="str">
        <x:v>Срок</x:v>
      </x:c>
      <x:c r="E4" s="74" t="str">
        <x:v>Приоритет</x:v>
      </x:c>
      <x:c r="F4" s="74" t="str">
        <x:v>Статус</x:v>
      </x:c>
      <x:c r="G4" s="75" t="str">
        <x:v>Влияние</x:v>
      </x:c>
    </x:row>
    <x:row r="5" ht="48" customHeight="1">
      <x:c r="A5" s="108" t="str">
        <x:v>D-01</x:v>
      </x:c>
      <x:c r="B5" s="109" t="str">
        <x:v>Точный релиз, конфигурация и список доработок всех баз 1С:УТ/Розница/Бухгалтерия</x:v>
      </x:c>
      <x:c r="C5" s="109" t="str">
        <x:v>Владелец 1С</x:v>
      </x:c>
      <x:c r="D5" s="109" t="str">
        <x:v>G0</x:v>
      </x:c>
      <x:c r="E5" s="109" t="str">
        <x:v>P0</x:v>
      </x:c>
      <x:c r="F5" s="109" t="str">
        <x:v>Открыто</x:v>
      </x:c>
      <x:c r="G5" s="110" t="str">
        <x:v>Совместимость расширений, тестовая копия, оценка работ</x:v>
      </x:c>
    </x:row>
    <x:row r="6" ht="48" customHeight="1">
      <x:c r="A6" s="111" t="str">
        <x:v>D-02</x:v>
      </x:c>
      <x:c r="B6" s="112" t="str">
        <x:v>3–5 поставщиков файлового пилота и 10 поставщиков MVP</x:v>
      </x:c>
      <x:c r="C6" s="112" t="str">
        <x:v>Руководитель КМ</x:v>
      </x:c>
      <x:c r="D6" s="112" t="str">
        <x:v>Неделя 4</x:v>
      </x:c>
      <x:c r="E6" s="112" t="str">
        <x:v>P0</x:v>
      </x:c>
      <x:c r="F6" s="112" t="str">
        <x:v>Открыто</x:v>
      </x:c>
      <x:c r="G6" s="113" t="str">
        <x:v>Golden profiles и план UAT</x:v>
      </x:c>
    </x:row>
    <x:row r="7" ht="48" customHeight="1">
      <x:c r="A7" s="111" t="str">
        <x:v>D-03</x:v>
      </x:c>
      <x:c r="B7" s="112" t="str">
        <x:v>Единица заказа, упаковочная иерархия, MOQ и кратность по пилотным поставщикам</x:v>
      </x:c>
      <x:c r="C7" s="112" t="str">
        <x:v>КМ / закупки</x:v>
      </x:c>
      <x:c r="D7" s="112" t="str">
        <x:v>G2</x:v>
      </x:c>
      <x:c r="E7" s="112" t="str">
        <x:v>P0</x:v>
      </x:c>
      <x:c r="F7" s="112" t="str">
        <x:v>Открыто</x:v>
      </x:c>
      <x:c r="G7" s="113" t="str">
        <x:v>Расчёт заказа и сопоставление</x:v>
      </x:c>
    </x:row>
    <x:row r="8" ht="48" customHeight="1">
      <x:c r="A8" s="111" t="str">
        <x:v>D-04</x:v>
      </x:c>
      <x:c r="B8" s="112" t="str">
        <x:v>Правила выбора закупочной цены при порогах, периодах и ретро-пересчёте</x:v>
      </x:c>
      <x:c r="C8" s="112" t="str">
        <x:v>Коммерция / финансы</x:v>
      </x:c>
      <x:c r="D8" s="112" t="str">
        <x:v>G2</x:v>
      </x:c>
      <x:c r="E8" s="112" t="str">
        <x:v>P0</x:v>
      </x:c>
      <x:c r="F8" s="112" t="str">
        <x:v>Открыто</x:v>
      </x:c>
      <x:c r="G8" s="113" t="str">
        <x:v>Price apply и маржа</x:v>
      </x:c>
    </x:row>
    <x:row r="9" ht="48" customHeight="1">
      <x:c r="A9" s="111" t="str">
        <x:v>D-05</x:v>
      </x:c>
      <x:c r="B9" s="112" t="str">
        <x:v>Политика частичного применения строк пакета при наличии blocking issues</x:v>
      </x:c>
      <x:c r="C9" s="112" t="str">
        <x:v>КМ / владелец 1С</x:v>
      </x:c>
      <x:c r="D9" s="112" t="str">
        <x:v>До TASK-020</x:v>
      </x:c>
      <x:c r="E9" s="112" t="str">
        <x:v>P0</x:v>
      </x:c>
      <x:c r="F9" s="112" t="str">
        <x:v>Открыто</x:v>
      </x:c>
      <x:c r="G9" s="113" t="str">
        <x:v>Staging workflow</x:v>
      </x:c>
    </x:row>
    <x:row r="10" ht="48" customHeight="1">
      <x:c r="A10" s="111" t="str">
        <x:v>D-06</x:v>
      </x:c>
      <x:c r="B10" s="112" t="str">
        <x:v>Критерии автоматического точного matching и обязательной ручной проверки</x:v>
      </x:c>
      <x:c r="C10" s="112" t="str">
        <x:v>КМ</x:v>
      </x:c>
      <x:c r="D10" s="112" t="str">
        <x:v>До TASK-021</x:v>
      </x:c>
      <x:c r="E10" s="112" t="str">
        <x:v>P0</x:v>
      </x:c>
      <x:c r="F10" s="112" t="str">
        <x:v>Открыто</x:v>
      </x:c>
      <x:c r="G10" s="113" t="str">
        <x:v>Риск неверной НСИ</x:v>
      </x:c>
    </x:row>
    <x:row r="11" ht="48" customHeight="1">
      <x:c r="A11" s="111" t="str">
        <x:v>D-07</x:v>
      </x:c>
      <x:c r="B11" s="112" t="str">
        <x:v>Порядок создания новой номенклатуры, обязательные поля и согласующие роли</x:v>
      </x:c>
      <x:c r="C11" s="112" t="str">
        <x:v>КМ / НСИ</x:v>
      </x:c>
      <x:c r="D11" s="112" t="str">
        <x:v>G2</x:v>
      </x:c>
      <x:c r="E11" s="112" t="str">
        <x:v>P0</x:v>
      </x:c>
      <x:c r="F11" s="112" t="str">
        <x:v>Открыто</x:v>
      </x:c>
      <x:c r="G11" s="113" t="str">
        <x:v>Новинки и SLA</x:v>
      </x:c>
    </x:row>
    <x:row r="12" ht="48" customHeight="1">
      <x:c r="A12" s="111" t="str">
        <x:v>D-08</x:v>
      </x:c>
      <x:c r="B12" s="112" t="str">
        <x:v>Срок хранения исходных файлов, audit, фото и коммерческих данных</x:v>
      </x:c>
      <x:c r="C12" s="112" t="str">
        <x:v>Юрист / data owners</x:v>
      </x:c>
      <x:c r="D12" s="112" t="str">
        <x:v>G0-G2</x:v>
      </x:c>
      <x:c r="E12" s="112" t="str">
        <x:v>P0</x:v>
      </x:c>
      <x:c r="F12" s="112" t="str">
        <x:v>Открыто</x:v>
      </x:c>
      <x:c r="G12" s="113" t="str">
        <x:v>Хранилище, безопасность, backup</x:v>
      </x:c>
    </x:row>
    <x:row r="13" ht="48" customHeight="1">
      <x:c r="A13" s="111" t="str">
        <x:v>D-09</x:v>
      </x:c>
      <x:c r="B13" s="112" t="str">
        <x:v>Механизм аутентификации сервиса и 1С, secret rotation и TLS</x:v>
      </x:c>
      <x:c r="C13" s="112" t="str">
        <x:v>Security / владелец 1С</x:v>
      </x:c>
      <x:c r="D13" s="112" t="str">
        <x:v>До TASK-018</x:v>
      </x:c>
      <x:c r="E13" s="112" t="str">
        <x:v>P0</x:v>
      </x:c>
      <x:c r="F13" s="112" t="str">
        <x:v>Открыто</x:v>
      </x:c>
      <x:c r="G13" s="113" t="str">
        <x:v>Интеграция production</x:v>
      </x:c>
    </x:row>
    <x:row r="14" ht="48" customHeight="1">
      <x:c r="A14" s="111" t="str">
        <x:v>D-10</x:v>
      </x:c>
      <x:c r="B14" s="112" t="str">
        <x:v>Состав тестовой копии 1С и контрольных SKU/магазинов/дней</x:v>
      </x:c>
      <x:c r="C14" s="112" t="str">
        <x:v>Владелец 1С / финансы</x:v>
      </x:c>
      <x:c r="D14" s="112" t="str">
        <x:v>G0</x:v>
      </x:c>
      <x:c r="E14" s="112" t="str">
        <x:v>P0</x:v>
      </x:c>
      <x:c r="F14" s="112" t="str">
        <x:v>Открыто</x:v>
      </x:c>
      <x:c r="G14" s="113" t="str">
        <x:v>UAT и формулы</x:v>
      </x:c>
    </x:row>
    <x:row r="15" ht="48" customHeight="1">
      <x:c r="A15" s="111" t="str">
        <x:v>D-11</x:v>
      </x:c>
      <x:c r="B15" s="112" t="str">
        <x:v>Типовой документ УТ для прямой поставки в магазин</x:v>
      </x:c>
      <x:c r="C15" s="112" t="str">
        <x:v>Владелец 1С / склад</x:v>
      </x:c>
      <x:c r="D15" s="112" t="str">
        <x:v>До P5</x:v>
      </x:c>
      <x:c r="E15" s="112" t="str">
        <x:v>P0</x:v>
      </x:c>
      <x:c r="F15" s="112" t="str">
        <x:v>Открыто</x:v>
      </x:c>
      <x:c r="G15" s="113" t="str">
        <x:v>Приёмка и проведение</x:v>
      </x:c>
    </x:row>
    <x:row r="16" ht="48" customHeight="1">
      <x:c r="A16" s="111" t="str">
        <x:v>D-12</x:v>
      </x:c>
      <x:c r="B16" s="112" t="str">
        <x:v>Нужен ли маршрут «центральный склад + перемещение» и для каких поставок</x:v>
      </x:c>
      <x:c r="C16" s="112" t="str">
        <x:v>Логистика / финансы</x:v>
      </x:c>
      <x:c r="D16" s="112" t="str">
        <x:v>G2</x:v>
      </x:c>
      <x:c r="E16" s="112" t="str">
        <x:v>P0</x:v>
      </x:c>
      <x:c r="F16" s="112" t="str">
        <x:v>Открыто</x:v>
      </x:c>
      <x:c r="G16" s="113" t="str">
        <x:v>Документы и право собственности</x:v>
      </x:c>
    </x:row>
    <x:row r="17" ht="48" customHeight="1">
      <x:c r="A17" s="111" t="str">
        <x:v>D-13</x:v>
      </x:c>
      <x:c r="B17" s="112" t="str">
        <x:v>Кто подтверждает новую связь при физическом наличии неизвестного товара</x:v>
      </x:c>
      <x:c r="C17" s="112" t="str">
        <x:v>КМ / склад</x:v>
      </x:c>
      <x:c r="D17" s="112" t="str">
        <x:v>До TASK-031</x:v>
      </x:c>
      <x:c r="E17" s="112" t="str">
        <x:v>P0</x:v>
      </x:c>
      <x:c r="F17" s="112" t="str">
        <x:v>Открыто</x:v>
      </x:c>
      <x:c r="G17" s="113" t="str">
        <x:v>Unknown barcode workflow</x:v>
      </x:c>
    </x:row>
    <x:row r="18" ht="48" customHeight="1">
      <x:c r="A18" s="111" t="str">
        <x:v>D-14</x:v>
      </x:c>
      <x:c r="B18" s="112" t="str">
        <x:v>Допускается ли частичное завершение при неизвестной позиции</x:v>
      </x:c>
      <x:c r="C18" s="112" t="str">
        <x:v>Склад / финансы</x:v>
      </x:c>
      <x:c r="D18" s="112" t="str">
        <x:v>До P5</x:v>
      </x:c>
      <x:c r="E18" s="112" t="str">
        <x:v>P0</x:v>
      </x:c>
      <x:c r="F18" s="112" t="str">
        <x:v>Открыто</x:v>
      </x:c>
      <x:c r="G18" s="113" t="str">
        <x:v>Проведение документа</x:v>
      </x:c>
    </x:row>
    <x:row r="19" ht="48" customHeight="1">
      <x:c r="A19" s="111" t="str">
        <x:v>D-15</x:v>
      </x:c>
      <x:c r="B19" s="112" t="str">
        <x:v>Порог и workflow недопоставки, излишка, замены, брака и ценового расхождения</x:v>
      </x:c>
      <x:c r="C19" s="112" t="str">
        <x:v>Закупки / склад / финансы</x:v>
      </x:c>
      <x:c r="D19" s="112" t="str">
        <x:v>G2</x:v>
      </x:c>
      <x:c r="E19" s="112" t="str">
        <x:v>P0</x:v>
      </x:c>
      <x:c r="F19" s="112" t="str">
        <x:v>Открыто</x:v>
      </x:c>
      <x:c r="G19" s="113" t="str">
        <x:v>Exception policy</x:v>
      </x:c>
    </x:row>
    <x:row r="20" ht="48" customHeight="1">
      <x:c r="A20" s="111" t="str">
        <x:v>D-16</x:v>
      </x:c>
      <x:c r="B20" s="112" t="str">
        <x:v>Категории, где обязательны серии, сроки годности и маркировка</x:v>
      </x:c>
      <x:c r="C20" s="112" t="str">
        <x:v>КМ / склад</x:v>
      </x:c>
      <x:c r="D20" s="112" t="str">
        <x:v>G2</x:v>
      </x:c>
      <x:c r="E20" s="112" t="str">
        <x:v>P1</x:v>
      </x:c>
      <x:c r="F20" s="112" t="str">
        <x:v>Открыто</x:v>
      </x:c>
      <x:c r="G20" s="113" t="str">
        <x:v>РМ приёмки и документы</x:v>
      </x:c>
    </x:row>
    <x:row r="21" ht="48" customHeight="1">
      <x:c r="A21" s="111" t="str">
        <x:v>D-17</x:v>
      </x:c>
      <x:c r="B21" s="112" t="str">
        <x:v>Устройства сканирования и необходимость офлайн-режима</x:v>
      </x:c>
      <x:c r="C21" s="112" t="str">
        <x:v>Розница / ИТ</x:v>
      </x:c>
      <x:c r="D21" s="112" t="str">
        <x:v>До P5</x:v>
      </x:c>
      <x:c r="E21" s="112" t="str">
        <x:v>P1</x:v>
      </x:c>
      <x:c r="F21" s="112" t="str">
        <x:v>Открыто</x:v>
      </x:c>
      <x:c r="G21" s="113" t="str">
        <x:v>UX и инфраструктура</x:v>
      </x:c>
    </x:row>
    <x:row r="22" ht="48" customHeight="1">
      <x:c r="A22" s="111" t="str">
        <x:v>D-18</x:v>
      </x:c>
      <x:c r="B22" s="112" t="str">
        <x:v>Источники электронных накладных и необходимость OCR в MVP</x:v>
      </x:c>
      <x:c r="C22" s="112" t="str">
        <x:v>Закупки / ИТ</x:v>
      </x:c>
      <x:c r="D22" s="112" t="str">
        <x:v>До P5</x:v>
      </x:c>
      <x:c r="E22" s="112" t="str">
        <x:v>P1</x:v>
      </x:c>
      <x:c r="F22" s="112" t="str">
        <x:v>Открыто</x:v>
      </x:c>
      <x:c r="G22" s="113" t="str">
        <x:v>Scope receipt ingestion</x:v>
      </x:c>
    </x:row>
    <x:row r="23" ht="48" customHeight="1">
      <x:c r="A23" s="111" t="str">
        <x:v>D-19</x:v>
      </x:c>
      <x:c r="B23" s="112" t="str">
        <x:v>Автоматическое или ручное проведение поставки без расхождений</x:v>
      </x:c>
      <x:c r="C23" s="112" t="str">
        <x:v>Склад / финансы</x:v>
      </x:c>
      <x:c r="D23" s="112" t="str">
        <x:v>До P5</x:v>
      </x:c>
      <x:c r="E23" s="112" t="str">
        <x:v>P0</x:v>
      </x:c>
      <x:c r="F23" s="112" t="str">
        <x:v>Открыто</x:v>
      </x:c>
      <x:c r="G23" s="113" t="str">
        <x:v>Контроль и роли</x:v>
      </x:c>
    </x:row>
    <x:row r="24" ht="48" customHeight="1">
      <x:c r="A24" s="111" t="str">
        <x:v>D-20</x:v>
      </x:c>
      <x:c r="B24" s="112" t="str">
        <x:v>Утверждённая формула рекомендации заказа и параметры по категориям</x:v>
      </x:c>
      <x:c r="C24" s="112" t="str">
        <x:v>Руководитель КМ</x:v>
      </x:c>
      <x:c r="D24" s="112" t="str">
        <x:v>G2</x:v>
      </x:c>
      <x:c r="E24" s="112" t="str">
        <x:v>P0</x:v>
      </x:c>
      <x:c r="F24" s="112" t="str">
        <x:v>Открыто</x:v>
      </x:c>
      <x:c r="G24" s="113" t="str">
        <x:v>MVP заказа</x:v>
      </x:c>
    </x:row>
    <x:row r="25" ht="48" customHeight="1">
      <x:c r="A25" s="111" t="str">
        <x:v>D-21</x:v>
      </x:c>
      <x:c r="B25" s="112" t="str">
        <x:v>Методика P&amp;L: начисление, закрытие, себестоимость, поздние документы и корректировки</x:v>
      </x:c>
      <x:c r="C25" s="112" t="str">
        <x:v>Финансовый директор</x:v>
      </x:c>
      <x:c r="D25" s="112" t="str">
        <x:v>G2</x:v>
      </x:c>
      <x:c r="E25" s="112" t="str">
        <x:v>P0</x:v>
      </x:c>
      <x:c r="F25" s="112" t="str">
        <x:v>Открыто</x:v>
      </x:c>
      <x:c r="G25" s="113" t="str">
        <x:v>Управленческая отчётность</x:v>
      </x:c>
    </x:row>
    <x:row r="26" ht="48" customHeight="1">
      <x:c r="A26" s="111" t="str">
        <x:v>D-22</x:v>
      </x:c>
      <x:c r="B26" s="112" t="str">
        <x:v>Классификаторы БДР/ДДС и правила распределения общих расходов</x:v>
      </x:c>
      <x:c r="C26" s="112" t="str">
        <x:v>Финансовый директор</x:v>
      </x:c>
      <x:c r="D26" s="112" t="str">
        <x:v>G2</x:v>
      </x:c>
      <x:c r="E26" s="112" t="str">
        <x:v>P0</x:v>
      </x:c>
      <x:c r="F26" s="112" t="str">
        <x:v>Открыто</x:v>
      </x:c>
      <x:c r="G26" s="113" t="str">
        <x:v>P&amp;L/БДДС</x:v>
      </x:c>
    </x:row>
    <x:row r="27" ht="48" customHeight="1">
      <x:c r="A27" s="111" t="str">
        <x:v>D-23</x:v>
      </x:c>
      <x:c r="B27" s="112" t="str">
        <x:v>Паспорта показателей продаж, маржи, OOS, оборачиваемости и ABC/XYZ</x:v>
      </x:c>
      <x:c r="C27" s="112" t="str">
        <x:v>Коммерция / финансы</x:v>
      </x:c>
      <x:c r="D27" s="112" t="str">
        <x:v>G2</x:v>
      </x:c>
      <x:c r="E27" s="112" t="str">
        <x:v>P1</x:v>
      </x:c>
      <x:c r="F27" s="112" t="str">
        <x:v>Открыто</x:v>
      </x:c>
      <x:c r="G27" s="113" t="str">
        <x:v>BI</x:v>
      </x:c>
    </x:row>
    <x:row r="28" ht="48" customHeight="1">
      <x:c r="A28" s="111" t="str">
        <x:v>D-24</x:v>
      </x:c>
      <x:c r="B28" s="112" t="str">
        <x:v>Целевая платформа казначейства: сохранить внешний инструмент, перенести в 1С или интегрировать</x:v>
      </x:c>
      <x:c r="C28" s="112" t="str">
        <x:v>Финансовый директор / ИТ</x:v>
      </x:c>
      <x:c r="D28" s="112" t="str">
        <x:v>До G6</x:v>
      </x:c>
      <x:c r="E28" s="112" t="str">
        <x:v>P1</x:v>
      </x:c>
      <x:c r="F28" s="112" t="str">
        <x:v>Открыто</x:v>
      </x:c>
      <x:c r="G28" s="113" t="str">
        <x:v>Scope финансового контура</x:v>
      </x:c>
    </x:row>
    <x:row r="29" ht="48" customHeight="1">
      <x:c r="A29" s="111" t="str">
        <x:v>D-25</x:v>
      </x:c>
      <x:c r="B29" s="112" t="str">
        <x:v>BI-платформа и модель загрузки витрин</x:v>
      </x:c>
      <x:c r="C29" s="112" t="str">
        <x:v>Собственник / ИТ</x:v>
      </x:c>
      <x:c r="D29" s="112" t="str">
        <x:v>До P6</x:v>
      </x:c>
      <x:c r="E29" s="112" t="str">
        <x:v>P1</x:v>
      </x:c>
      <x:c r="F29" s="112" t="str">
        <x:v>Открыто</x:v>
      </x:c>
      <x:c r="G29" s="113" t="str">
        <x:v>Отчёты и эксплуатация</x:v>
      </x:c>
    </x:row>
    <x:row r="30" ht="48" customHeight="1">
      <x:c r="A30" s="111" t="str">
        <x:v>D-26</x:v>
      </x:c>
      <x:c r="B30" s="112" t="str">
        <x:v>Порядок межфирменных документов, цены, НДС и момент перехода собственности</x:v>
      </x:c>
      <x:c r="C30" s="112" t="str">
        <x:v>Финансы / юрист</x:v>
      </x:c>
      <x:c r="D30" s="112" t="str">
        <x:v>G2</x:v>
      </x:c>
      <x:c r="E30" s="112" t="str">
        <x:v>P0</x:v>
      </x:c>
      <x:c r="F30" s="112" t="str">
        <x:v>Открыто</x:v>
      </x:c>
      <x:c r="G30" s="113" t="str">
        <x:v>Импортная → розничная компания</x:v>
      </x:c>
    </x:row>
    <x:row r="31" ht="48" customHeight="1">
      <x:c r="A31" s="111" t="str">
        <x:v>D-27</x:v>
      </x:c>
      <x:c r="B31" s="112" t="str">
        <x:v>Порог существенности для ручной корректировки заказа и цены</x:v>
      </x:c>
      <x:c r="C31" s="112" t="str">
        <x:v>Коммерция / КМ</x:v>
      </x:c>
      <x:c r="D31" s="112" t="str">
        <x:v>G2</x:v>
      </x:c>
      <x:c r="E31" s="112" t="str">
        <x:v>P1</x:v>
      </x:c>
      <x:c r="F31" s="112" t="str">
        <x:v>Открыто</x:v>
      </x:c>
      <x:c r="G31" s="113" t="str">
        <x:v>Approval workflow</x:v>
      </x:c>
    </x:row>
    <x:row r="32" ht="48" customHeight="1">
      <x:c r="A32" s="111" t="str">
        <x:v>D-28</x:v>
      </x:c>
      <x:c r="B32" s="112" t="str">
        <x:v>Ресурсный план: 1С-разработчик, backend, frontend, QA, аналитик, data/BI, инфраструктура</x:v>
      </x:c>
      <x:c r="C32" s="112" t="str">
        <x:v>Спонсор</x:v>
      </x:c>
      <x:c r="D32" s="112" t="str">
        <x:v>G0</x:v>
      </x:c>
      <x:c r="E32" s="112" t="str">
        <x:v>P0</x:v>
      </x:c>
      <x:c r="F32" s="112" t="str">
        <x:v>Открыто</x:v>
      </x:c>
      <x:c r="G32" s="113" t="str">
        <x:v>Реальность 34-недельного плана</x:v>
      </x:c>
    </x:row>
    <x:row r="33" ht="48" customHeight="1">
      <x:c r="A33" s="111" t="str">
        <x:v>D-29</x:v>
      </x:c>
      <x:c r="B33" s="112" t="str">
        <x:v>Разблокировка GitHub Actions billing/spending limit</x:v>
      </x:c>
      <x:c r="C33" s="112" t="str">
        <x:v>Владелец GitHub</x:v>
      </x:c>
      <x:c r="D33" s="112" t="str">
        <x:v>Немедленно</x:v>
      </x:c>
      <x:c r="E33" s="112" t="str">
        <x:v>P0</x:v>
      </x:c>
      <x:c r="F33" s="112" t="str">
        <x:v>Открыто</x:v>
      </x:c>
      <x:c r="G33" s="113" t="str">
        <x:v>Merge WORK-005+</x:v>
      </x:c>
    </x:row>
    <x:row r="34" ht="48" customHeight="1">
      <x:c r="A34" s="114" t="str">
        <x:v>D-30</x:v>
      </x:c>
      <x:c r="B34" s="115" t="str">
        <x:v>Судьба stacked веток WORK-006…009: порядок rebase/retarget/merge</x:v>
      </x:c>
      <x:c r="C34" s="115" t="str">
        <x:v>Технический лидер</x:v>
      </x:c>
      <x:c r="D34" s="115" t="str">
        <x:v>Неделя 1</x:v>
      </x:c>
      <x:c r="E34" s="115" t="str">
        <x:v>P0</x:v>
      </x:c>
      <x:c r="F34" s="115" t="str">
        <x:v>Открыто</x:v>
      </x:c>
      <x:c r="G34" s="116" t="str">
        <x:v>Непрерывность разработки</x:v>
      </x:c>
    </x:row>
    <x:row r="35">
      <x:c r="A35" t="str">
        <x:v>D-31</x:v>
      </x:c>
      <x:c r="B35" t="str">
        <x:v>Утвердить точную корпоративную архитектуру «Форус» и положение внешнего сервиса нормализации как спутника центральной УТ</x:v>
      </x:c>
      <x:c r="C35" t="str">
        <x:v>Архитектурный комитет / спонсор</x:v>
      </x:c>
      <x:c r="D35" t="str">
        <x:v>G0</x:v>
      </x:c>
      <x:c r="E35" t="str">
        <x:v>P0</x:v>
      </x:c>
      <x:c r="F35" t="str">
        <x:v>Открыто</x:v>
      </x:c>
      <x:c r="G35" t="str">
        <x:v>Устраняет конфликт архитектурных трактовок</x:v>
      </x:c>
    </x:row>
    <x:row r="36">
      <x:c r="A36" t="str">
        <x:v>D-32</x:v>
      </x:c>
      <x:c r="B36" t="str">
        <x:v>Утвердить единую центральную 1С:УТ 11 и последовательность консолидации СНЭКС / СНЭКС СИБИРЬ</x:v>
      </x:c>
      <x:c r="C36" t="str">
        <x:v>Владелец 1С / финансы</x:v>
      </x:c>
      <x:c r="D36" t="str">
        <x:v>G0-G2</x:v>
      </x:c>
      <x:c r="E36" t="str">
        <x:v>P0</x:v>
      </x:c>
      <x:c r="F36" t="str">
        <x:v>Открыто</x:v>
      </x:c>
      <x:c r="G36" t="str">
        <x:v>Master НСИ, себестоимость, закупки и документы</x:v>
      </x:c>
    </x:row>
    <x:row r="37">
      <x:c r="A37" t="str">
        <x:v>D-33</x:v>
      </x:c>
      <x:c r="B37" t="str">
        <x:v>Утвердить карту центрального, региональных и франчайзинговых узлов 1С:Розницы и привязку магазинов</x:v>
      </x:c>
      <x:c r="C37" t="str">
        <x:v>Розница / ИТ</x:v>
      </x:c>
      <x:c r="D37" t="str">
        <x:v>G0</x:v>
      </x:c>
      <x:c r="E37" t="str">
        <x:v>P0</x:v>
      </x:c>
      <x:c r="F37" t="str">
        <x:v>Открыто</x:v>
      </x:c>
      <x:c r="G37" t="str">
        <x:v>Топология обменов, права и rollout</x:v>
      </x:c>
    </x:row>
    <x:row r="38">
      <x:c r="A38" t="str">
        <x:v>D-34</x:v>
      </x:c>
      <x:c r="B38" t="str">
        <x:v>Утвердить этапы вывода Frontol, период сосуществования и rollback по магазинам</x:v>
      </x:c>
      <x:c r="C38" t="str">
        <x:v>Розница / ИТ</x:v>
      </x:c>
      <x:c r="D38" t="str">
        <x:v>До пилота Розницы</x:v>
      </x:c>
      <x:c r="E38" t="str">
        <x:v>P0</x:v>
      </x:c>
      <x:c r="F38" t="str">
        <x:v>Открыто</x:v>
      </x:c>
      <x:c r="G38" t="str">
        <x:v>Непрерывность продаж</x:v>
      </x:c>
    </x:row>
    <x:row r="39">
      <x:c r="A39" t="str">
        <x:v>D-35</x:v>
      </x:c>
      <x:c r="B39" t="str">
        <x:v>Утвердить каталог обменов БП–УТ–Розница–КСО, SLA, мониторинг, retry и reconciliation</x:v>
      </x:c>
      <x:c r="C39" t="str">
        <x:v>ИТ / финансы</x:v>
      </x:c>
      <x:c r="D39" t="str">
        <x:v>G1-G3</x:v>
      </x:c>
      <x:c r="E39" t="str">
        <x:v>P0</x:v>
      </x:c>
      <x:c r="F39" t="str">
        <x:v>Открыто</x:v>
      </x:c>
      <x:c r="G39" t="str">
        <x:v>Достоверность документов и отчётности</x:v>
      </x:c>
    </x:row>
    <x:row r="40">
      <x:c r="A40" t="str">
        <x:v>D-36</x:v>
      </x:c>
      <x:c r="B40" t="str">
        <x:v>Утвердить scope интеграции MAXMA, владельца данных и приоритет правил цен/скидок</x:v>
      </x:c>
      <x:c r="C40" t="str">
        <x:v>Коммерция / финансы / ИТ</x:v>
      </x:c>
      <x:c r="D40" t="str">
        <x:v>G2</x:v>
      </x:c>
      <x:c r="E40" t="str">
        <x:v>P0</x:v>
      </x:c>
      <x:c r="F40" t="str">
        <x:v>Открыто</x:v>
      </x:c>
      <x:c r="G40" t="str">
        <x:v>Цены, маржа и промо</x:v>
      </x:c>
    </x:row>
    <x:row r="41">
      <x:c r="A41" t="str">
        <x:v>D-37</x:v>
      </x:c>
      <x:c r="B41" t="str">
        <x:v>Утвердить keep/refactor/replace/retire для всех 14 расширений</x:v>
      </x:c>
      <x:c r="C41" t="str">
        <x:v>Архитектурный комитет / владелец 1С</x:v>
      </x:c>
      <x:c r="D41" t="str">
        <x:v>G0</x:v>
      </x:c>
      <x:c r="E41" t="str">
        <x:v>P0</x:v>
      </x:c>
      <x:c r="F41" t="str">
        <x:v>Открыто</x:v>
      </x:c>
      <x:c r="G41" t="str">
        <x:v>Сроки, стоимость, совместимость и миграция</x:v>
      </x:c>
    </x:row>
    <x:row r="42">
      <x:c r="A42" t="str">
        <x:v>D-38</x:v>
      </x:c>
      <x:c r="B42" t="str">
        <x:v>Получить исходники/лицензии/поддержку закрытых расширений либо решение об их замене</x:v>
      </x:c>
      <x:c r="C42" t="str">
        <x:v>Спонсор / юрист / ИТ</x:v>
      </x:c>
      <x:c r="D42" t="str">
        <x:v>G0</x:v>
      </x:c>
      <x:c r="E42" t="str">
        <x:v>P0</x:v>
      </x:c>
      <x:c r="F42" t="str">
        <x:v>Открыто</x:v>
      </x:c>
      <x:c r="G42" t="str">
        <x:v>Управляемость критического кода</x:v>
      </x:c>
    </x:row>
    <x:row r="43">
      <x:c r="A43" t="str">
        <x:v>D-39</x:v>
      </x:c>
      <x:c r="B43" t="str">
        <x:v>Утвердить миграцию данных из собственных регистров/справочников/реквизитов расширений</x:v>
      </x:c>
      <x:c r="C43" t="str">
        <x:v>Владелец 1С / data owners</x:v>
      </x:c>
      <x:c r="D43" t="str">
        <x:v>До отключения расширений</x:v>
      </x:c>
      <x:c r="E43" t="str">
        <x:v>P0</x:v>
      </x:c>
      <x:c r="F43" t="str">
        <x:v>Открыто</x:v>
      </x:c>
      <x:c r="G43" t="str">
        <x:v>Предотвращение потери данных</x:v>
      </x:c>
    </x:row>
    <x:row r="44">
      <x:c r="A44" t="str">
        <x:v>D-40</x:v>
      </x:c>
      <x:c r="B44" t="str">
        <x:v>Утвердить целевые релизы платформы, УТ, Розницы и compatibility matrix расширений</x:v>
      </x:c>
      <x:c r="C44" t="str">
        <x:v>Владелец 1С / QA</x:v>
      </x:c>
      <x:c r="D44" t="str">
        <x:v>G0-G3</x:v>
      </x:c>
      <x:c r="E44" t="str">
        <x:v>P0</x:v>
      </x:c>
      <x:c r="F44" t="str">
        <x:v>Открыто</x:v>
      </x:c>
      <x:c r="G44" t="str">
        <x:v>Безопасное обновление и cutover</x:v>
      </x:c>
    </x:row>
    <x:row r="45" ht="54" customHeight="1">
      <x:c r="A45" s="1060" t="str">
        <x:v>D-41</x:v>
      </x:c>
      <x:c r="B45" s="1060" t="str">
        <x:v>Утвердить стандартный пакет масштабирования нового региона, магазина и франчайзи: обязательные системы, НСИ, роли, обмены, UAT, обучение, SLA и rollback</x:v>
      </x:c>
      <x:c r="C45" s="1060" t="str">
        <x:v>Соучредитель / руководитель розницы / ИТ</x:v>
      </x:c>
      <x:c r="D45" s="1060" t="str">
        <x:v>G2</x:v>
      </x:c>
      <x:c r="E45" s="1060" t="str">
        <x:v>P0</x:v>
      </x:c>
      <x:c r="F45" s="1060" t="str">
        <x:v>Открыто</x:v>
      </x:c>
      <x:c r="G45" s="1060" t="str">
        <x:v>Срок и стоимость подключения новых точек</x:v>
      </x:c>
    </x:row>
    <x:row r="46" ht="54" customHeight="1">
      <x:c r="A46" s="1060" t="str">
        <x:v>D-42</x:v>
      </x:c>
      <x:c r="B46" s="1060" t="str">
        <x:v>Утвердить состав стратегического и операционного BI, владельцев KPI, источники, частоту обновления и правила неполного среза</x:v>
      </x:c>
      <x:c r="C46" s="1060" t="str">
        <x:v>Собственник / соучредитель / финансы / операционный директор</x:v>
      </x:c>
      <x:c r="D46" s="1060" t="str">
        <x:v>G2</x:v>
      </x:c>
      <x:c r="E46" s="1060" t="str">
        <x:v>P0</x:v>
      </x:c>
      <x:c r="F46" s="1060" t="str">
        <x:v>Открыто</x:v>
      </x:c>
      <x:c r="G46" s="1060" t="str">
        <x:v>Достоверность управленческих решений</x:v>
      </x:c>
    </x:row>
    <x:row r="47" ht="54" customHeight="1">
      <x:c r="A47" s="1060" t="str">
        <x:v>D-43</x:v>
      </x:c>
      <x:c r="B47" s="1060" t="str">
        <x:v>Утвердить границы автономии регионов и франчайзи по ассортименту, ценам, скидкам, пользователям и локальным справочникам</x:v>
      </x:c>
      <x:c r="C47" s="1060" t="str">
        <x:v>Коммерция / соучредитель / ИТ</x:v>
      </x:c>
      <x:c r="D47" s="1060" t="str">
        <x:v>G2</x:v>
      </x:c>
      <x:c r="E47" s="1060" t="str">
        <x:v>P0</x:v>
      </x:c>
      <x:c r="F47" s="1060" t="str">
        <x:v>Открыто</x:v>
      </x:c>
      <x:c r="G47" s="1060" t="str">
        <x:v>Централизация без потери управляемой локальной гибкости</x:v>
      </x:c>
    </x:row>
    <x:row r="48" ht="54" customHeight="1">
      <x:c r="A48" s="1060" t="str">
        <x:v>D-44</x:v>
      </x:c>
      <x:c r="B48" s="1060" t="str">
        <x:v>Утвердить единое определение факта продажи для опта и розницы: документ, отгрузка, кассовый чек, возврат и дата признания</x:v>
      </x:c>
      <x:c r="C48" s="1060" t="str">
        <x:v>Операционный директор / финансовый директор</x:v>
      </x:c>
      <x:c r="D48" s="1060" t="str">
        <x:v>G2</x:v>
      </x:c>
      <x:c r="E48" s="1060" t="str">
        <x:v>P0</x:v>
      </x:c>
      <x:c r="F48" s="1060" t="str">
        <x:v>Открыто</x:v>
      </x:c>
      <x:c r="G48" s="1060" t="str">
        <x:v>Продажи, выручка, P&amp;L и KPI</x:v>
      </x:c>
    </x:row>
    <x:row r="49" ht="54" customHeight="1">
      <x:c r="A49" s="1060" t="str">
        <x:v>D-45</x:v>
      </x:c>
      <x:c r="B49" s="1060" t="str">
        <x:v>Утвердить жизненный цикл заказа клиента, роли, обещанную дату, резерв, подтверждение отгрузки, возврат и SLA исключений</x:v>
      </x:c>
      <x:c r="C49" s="1060" t="str">
        <x:v>Операционный директор / склад / финансы</x:v>
      </x:c>
      <x:c r="D49" s="1060" t="str">
        <x:v>G2</x:v>
      </x:c>
      <x:c r="E49" s="1060" t="str">
        <x:v>P1</x:v>
      </x:c>
      <x:c r="F49" s="1060" t="str">
        <x:v>Открыто</x:v>
      </x:c>
      <x:c r="G49" s="1060" t="str">
        <x:v>Управляемость клиентского заказа</x:v>
      </x:c>
    </x:row>
    <x:row r="50" ht="54" customHeight="1">
      <x:c r="A50" s="1060" t="str">
        <x:v>D-46</x:v>
      </x:c>
      <x:c r="B50" s="1060" t="str">
        <x:v>Утвердить KPI продаж, лимиты скидок и минимальной маржи, включая полную себестоимость и маршрут согласования</x:v>
      </x:c>
      <x:c r="C50" s="1060" t="str">
        <x:v>Коммерческий директор / операционный директор / финансы</x:v>
      </x:c>
      <x:c r="D50" s="1060" t="str">
        <x:v>G2</x:v>
      </x:c>
      <x:c r="E50" s="1060" t="str">
        <x:v>P1</x:v>
      </x:c>
      <x:c r="F50" s="1060" t="str">
        <x:v>Открыто</x:v>
      </x:c>
      <x:c r="G50" s="1060" t="str">
        <x:v>Мотивация, цены, маржа и отчётность</x:v>
      </x:c>
    </x:row>
  </x:sheetData>
  <x:mergeCells>
    <x:mergeCell ref="A1:G1"/>
    <x:mergeCell ref="A2:G2"/>
  </x:mergeCells>
  <x:conditionalFormatting sqref="E5:E34">
    <x:cfRule type="expression" dxfId="17" priority="1">
      <x:formula>E5="P0"</x:formula>
    </x:cfRule>
  </x:conditionalFormatting>
  <x:conditionalFormatting sqref="F5:F34">
    <x:cfRule type="expression" dxfId="18" priority="2">
      <x:formula>F5="Открыто"</x:formula>
    </x:cfRule>
  </x:conditionalFormatting>
  <x:dataValidations count="1">
    <x:dataValidation type="list" sqref="F5:F34">
      <x:formula1>"Открыто,На согласовании,Принято,Отклонено"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8fc14ddc1f426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8" hidden="0" customWidth="1"/>
    <x:col min="4" max="4" width="28" hidden="0" customWidth="1"/>
    <x:col min="5" max="5" width="40" hidden="0" customWidth="1"/>
    <x:col min="6" max="6" width="28" hidden="0" customWidth="1"/>
    <x:col min="7" max="7" width="24" hidden="0" customWidth="1"/>
  </x:cols>
  <x:sheetData>
    <x:row r="1" ht="32" customHeight="1">
      <x:c r="A1" s="5" t="str">
        <x:v>Трассировка требований P0/P1/P2 — включая масштабирование и операционные продажи</x:v>
      </x:c>
      <x:c r="B1" s="5"/>
      <x:c r="C1" s="5"/>
      <x:c r="D1" s="5"/>
      <x:c r="E1" s="5"/>
      <x:c r="F1" s="5"/>
      <x:c r="G1" s="5"/>
    </x:row>
    <x:row r="2" ht="28" customHeight="1">
      <x:c r="A2" s="14" t="str">
        <x:v>Связь требования с этапом, backlog, проверкой и владельцем</x:v>
      </x:c>
      <x:c r="B2" s="14"/>
      <x:c r="C2" s="14"/>
      <x:c r="D2" s="14"/>
      <x:c r="E2" s="14"/>
      <x:c r="F2" s="14"/>
      <x:c r="G2" s="14"/>
    </x:row>
    <x:row r="4" ht="32" customHeight="1">
      <x:c r="A4" s="73" t="str">
        <x:v>Требование</x:v>
      </x:c>
      <x:c r="B4" s="74" t="str">
        <x:v>Домен</x:v>
      </x:c>
      <x:c r="C4" s="74" t="str">
        <x:v>Этап</x:v>
      </x:c>
      <x:c r="D4" s="74" t="str">
        <x:v>Backlog</x:v>
      </x:c>
      <x:c r="E4" s="74" t="str">
        <x:v>Способ проверки</x:v>
      </x:c>
      <x:c r="F4" s="74" t="str">
        <x:v>Владелец</x:v>
      </x:c>
      <x:c r="G4" s="75" t="str">
        <x:v>Статус</x:v>
      </x:c>
    </x:row>
    <x:row r="5" ht="38" customHeight="1">
      <x:c r="A5" s="108" t="str">
        <x:v>GOV-001</x:v>
      </x:c>
      <x:c r="B5" s="109" t="str">
        <x:v>Управление проектом</x:v>
      </x:c>
      <x:c r="C5" s="109" t="str">
        <x:v>P0</x:v>
      </x:c>
      <x:c r="D5" s="109" t="str">
        <x:v>WORK_PROCESS</x:v>
      </x:c>
      <x:c r="E5" s="109" t="str">
        <x:v>UAT / документ / контрольная сверка</x:v>
      </x:c>
      <x:c r="F5" s="109" t="str">
        <x:v>Спонсор / координатор</x:v>
      </x:c>
      <x:c r="G5" s="110" t="str">
        <x:v>BASELINE</x:v>
      </x:c>
    </x:row>
    <x:row r="6" ht="38" customHeight="1">
      <x:c r="A6" s="111" t="str">
        <x:v>GOV-002</x:v>
      </x:c>
      <x:c r="B6" s="112" t="str">
        <x:v>Управление проектом</x:v>
      </x:c>
      <x:c r="C6" s="112" t="str">
        <x:v>P0</x:v>
      </x:c>
      <x:c r="D6" s="112" t="str">
        <x:v>WORK_PROCESS</x:v>
      </x:c>
      <x:c r="E6" s="112" t="str">
        <x:v>UAT / документ / контрольная сверка</x:v>
      </x:c>
      <x:c r="F6" s="112" t="str">
        <x:v>Координатор</x:v>
      </x:c>
      <x:c r="G6" s="113" t="str">
        <x:v>BASELINE</x:v>
      </x:c>
    </x:row>
    <x:row r="7" ht="38" customHeight="1">
      <x:c r="A7" s="111" t="str">
        <x:v>GOV-003</x:v>
      </x:c>
      <x:c r="B7" s="112" t="str">
        <x:v>Управление проектом</x:v>
      </x:c>
      <x:c r="C7" s="112" t="str">
        <x:v>P0</x:v>
      </x:c>
      <x:c r="D7" s="112" t="str">
        <x:v>P0-control</x:v>
      </x:c>
      <x:c r="E7" s="112" t="str">
        <x:v>UAT / документ / контрольная сверка</x:v>
      </x:c>
      <x:c r="F7" s="112" t="str">
        <x:v>Спонсор / юрист / ИТ</x:v>
      </x:c>
      <x:c r="G7" s="113" t="str">
        <x:v>BASELINE</x:v>
      </x:c>
    </x:row>
    <x:row r="8" ht="38" customHeight="1">
      <x:c r="A8" s="111" t="str">
        <x:v>GOV-004</x:v>
      </x:c>
      <x:c r="B8" s="112" t="str">
        <x:v>Управление проектом</x:v>
      </x:c>
      <x:c r="C8" s="112" t="str">
        <x:v>P0</x:v>
      </x:c>
      <x:c r="D8" s="112" t="str">
        <x:v>ADR-001</x:v>
      </x:c>
      <x:c r="E8" s="112" t="str">
        <x:v>UAT / документ / контрольная сверка</x:v>
      </x:c>
      <x:c r="F8" s="112" t="str">
        <x:v>Архитектурный комитет</x:v>
      </x:c>
      <x:c r="G8" s="113" t="str">
        <x:v>BASELINE</x:v>
      </x:c>
    </x:row>
    <x:row r="9" ht="38" customHeight="1">
      <x:c r="A9" s="111" t="str">
        <x:v>GOV-005</x:v>
      </x:c>
      <x:c r="B9" s="112" t="str">
        <x:v>Управление проектом</x:v>
      </x:c>
      <x:c r="C9" s="112" t="str">
        <x:v>P0-P7</x:v>
      </x:c>
      <x:c r="D9" s="112" t="str">
        <x:v>DECISIONS_REQUIRED</x:v>
      </x:c>
      <x:c r="E9" s="112" t="str">
        <x:v>UAT / документ / контрольная сверка</x:v>
      </x:c>
      <x:c r="F9" s="112" t="str">
        <x:v>Координатор</x:v>
      </x:c>
      <x:c r="G9" s="113" t="str">
        <x:v>BASELINE</x:v>
      </x:c>
    </x:row>
    <x:row r="10" ht="38" customHeight="1">
      <x:c r="A10" s="111" t="str">
        <x:v>GOV-006</x:v>
      </x:c>
      <x:c r="B10" s="112" t="str">
        <x:v>Управление проектом</x:v>
      </x:c>
      <x:c r="C10" s="112" t="str">
        <x:v>P3-P7</x:v>
      </x:c>
      <x:c r="D10" s="112" t="str">
        <x:v>WORK_PROCESS</x:v>
      </x:c>
      <x:c r="E10" s="112" t="str">
        <x:v>UAT / документ / контрольная сверка</x:v>
      </x:c>
      <x:c r="F10" s="112" t="str">
        <x:v>Технический лидер</x:v>
      </x:c>
      <x:c r="G10" s="113" t="str">
        <x:v>BASELINE</x:v>
      </x:c>
    </x:row>
    <x:row r="11" ht="38" customHeight="1">
      <x:c r="A11" s="111" t="str">
        <x:v>GOV-007</x:v>
      </x:c>
      <x:c r="B11" s="112" t="str">
        <x:v>Управление проектом</x:v>
      </x:c>
      <x:c r="C11" s="112" t="str">
        <x:v>P1-P7</x:v>
      </x:c>
      <x:c r="D11" s="112" t="str">
        <x:v>TASK-024,TASK-025</x:v>
      </x:c>
      <x:c r="E11" s="112" t="str">
        <x:v>UAT / документ / контрольная сверка</x:v>
      </x:c>
      <x:c r="F11" s="112" t="str">
        <x:v>Владелец 1С</x:v>
      </x:c>
      <x:c r="G11" s="113" t="str">
        <x:v>BASELINE</x:v>
      </x:c>
    </x:row>
    <x:row r="12" ht="38" customHeight="1">
      <x:c r="A12" s="111" t="str">
        <x:v>GOV-008</x:v>
      </x:c>
      <x:c r="B12" s="112" t="str">
        <x:v>Управление проектом</x:v>
      </x:c>
      <x:c r="C12" s="112" t="str">
        <x:v>P0-P7</x:v>
      </x:c>
      <x:c r="D12" s="112" t="str">
        <x:v>TASK-024</x:v>
      </x:c>
      <x:c r="E12" s="112" t="str">
        <x:v>UAT / документ / контрольная сверка</x:v>
      </x:c>
      <x:c r="F12" s="112" t="str">
        <x:v>Технический лидер</x:v>
      </x:c>
      <x:c r="G12" s="113" t="str">
        <x:v>BASELINE</x:v>
      </x:c>
    </x:row>
    <x:row r="13" ht="38" customHeight="1">
      <x:c r="A13" s="111" t="str">
        <x:v>GOV-009</x:v>
      </x:c>
      <x:c r="B13" s="112" t="str">
        <x:v>Управление проектом</x:v>
      </x:c>
      <x:c r="C13" s="112" t="str">
        <x:v>P1-P7</x:v>
      </x:c>
      <x:c r="D13" s="112" t="str">
        <x:v>TASK-025,TASK-035</x:v>
      </x:c>
      <x:c r="E13" s="112" t="str">
        <x:v>UAT / документ / контрольная сверка</x:v>
      </x:c>
      <x:c r="F13" s="112" t="str">
        <x:v>Бизнес-владелец</x:v>
      </x:c>
      <x:c r="G13" s="113" t="str">
        <x:v>BASELINE</x:v>
      </x:c>
    </x:row>
    <x:row r="14" ht="38" customHeight="1">
      <x:c r="A14" s="111" t="str">
        <x:v>GOV-010</x:v>
      </x:c>
      <x:c r="B14" s="112" t="str">
        <x:v>Управление проектом</x:v>
      </x:c>
      <x:c r="C14" s="112" t="str">
        <x:v>P0-P2</x:v>
      </x:c>
      <x:c r="D14" s="112" t="str">
        <x:v>Scope governance</x:v>
      </x:c>
      <x:c r="E14" s="112" t="str">
        <x:v>UAT / документ / контрольная сверка</x:v>
      </x:c>
      <x:c r="F14" s="112" t="str">
        <x:v>Спонсор</x:v>
      </x:c>
      <x:c r="G14" s="113" t="str">
        <x:v>BASELINE</x:v>
      </x:c>
    </x:row>
    <x:row r="15" ht="38" customHeight="1">
      <x:c r="A15" s="111" t="str">
        <x:v>GOV-011</x:v>
      </x:c>
      <x:c r="B15" s="112" t="str">
        <x:v>Управление проектом</x:v>
      </x:c>
      <x:c r="C15" s="112" t="str">
        <x:v>P0-P7</x:v>
      </x:c>
      <x:c r="D15" s="112" t="str">
        <x:v>WORK_PROCESS</x:v>
      </x:c>
      <x:c r="E15" s="112" t="str">
        <x:v>UAT / документ / контрольная сверка</x:v>
      </x:c>
      <x:c r="F15" s="112" t="str">
        <x:v>Координатор</x:v>
      </x:c>
      <x:c r="G15" s="113" t="str">
        <x:v>BASELINE</x:v>
      </x:c>
    </x:row>
    <x:row r="16" ht="38" customHeight="1">
      <x:c r="A16" s="111" t="str">
        <x:v>GOV-012</x:v>
      </x:c>
      <x:c r="B16" s="112" t="str">
        <x:v>Управление проектом</x:v>
      </x:c>
      <x:c r="C16" s="112" t="str">
        <x:v>P0-P7</x:v>
      </x:c>
      <x:c r="D16" s="112" t="str">
        <x:v>TASK-024</x:v>
      </x:c>
      <x:c r="E16" s="112" t="str">
        <x:v>UAT / документ / контрольная сверка</x:v>
      </x:c>
      <x:c r="F16" s="112" t="str">
        <x:v>Владельцы процессов</x:v>
      </x:c>
      <x:c r="G16" s="113" t="str">
        <x:v>BASELINE</x:v>
      </x:c>
    </x:row>
    <x:row r="17" ht="38" customHeight="1">
      <x:c r="A17" s="111" t="str">
        <x:v>MDM-001</x:v>
      </x:c>
      <x:c r="B17" s="112" t="str">
        <x:v>НСИ и качество данных</x:v>
      </x:c>
      <x:c r="C17" s="112" t="str">
        <x:v>P1-P2</x:v>
      </x:c>
      <x:c r="D17" s="112" t="str">
        <x:v>MDM-wave</x:v>
      </x:c>
      <x:c r="E17" s="112" t="str">
        <x:v>UAT / документ / контрольная сверка</x:v>
      </x:c>
      <x:c r="F17" s="112" t="str">
        <x:v>ИТ + финансы + розница</x:v>
      </x:c>
      <x:c r="G17" s="113" t="str">
        <x:v>BASELINE</x:v>
      </x:c>
    </x:row>
    <x:row r="18" ht="38" customHeight="1">
      <x:c r="A18" s="111" t="str">
        <x:v>MDM-002</x:v>
      </x:c>
      <x:c r="B18" s="112" t="str">
        <x:v>НСИ и качество данных</x:v>
      </x:c>
      <x:c r="C18" s="112" t="str">
        <x:v>P0-P2</x:v>
      </x:c>
      <x:c r="D18" s="112" t="str">
        <x:v>D-01</x:v>
      </x:c>
      <x:c r="E18" s="112" t="str">
        <x:v>UAT / документ / контрольная сверка</x:v>
      </x:c>
      <x:c r="F18" s="112" t="str">
        <x:v>Координатор + финансы</x:v>
      </x:c>
      <x:c r="G18" s="113" t="str">
        <x:v>ТРЕБУЕТ ВЕРИФИКАЦИИ</x:v>
      </x:c>
    </x:row>
    <x:row r="19" ht="38" customHeight="1">
      <x:c r="A19" s="111" t="str">
        <x:v>MDM-003</x:v>
      </x:c>
      <x:c r="B19" s="112" t="str">
        <x:v>НСИ и качество данных</x:v>
      </x:c>
      <x:c r="C19" s="112" t="str">
        <x:v>P3-P7</x:v>
      </x:c>
      <x:c r="D19" s="112" t="str">
        <x:v>TASK-019,TASK-021</x:v>
      </x:c>
      <x:c r="E19" s="112" t="str">
        <x:v>UAT / документ / контрольная сверка</x:v>
      </x:c>
      <x:c r="F19" s="112" t="str">
        <x:v>Владелец 1С</x:v>
      </x:c>
      <x:c r="G19" s="113" t="str">
        <x:v>BASELINE</x:v>
      </x:c>
    </x:row>
    <x:row r="20" ht="38" customHeight="1">
      <x:c r="A20" s="111" t="str">
        <x:v>MDM-004</x:v>
      </x:c>
      <x:c r="B20" s="112" t="str">
        <x:v>НСИ и качество данных</x:v>
      </x:c>
      <x:c r="C20" s="112" t="str">
        <x:v>P2</x:v>
      </x:c>
      <x:c r="D20" s="112" t="str">
        <x:v>TASK-021</x:v>
      </x:c>
      <x:c r="E20" s="112" t="str">
        <x:v>Протокол утверждения + контрольный расчёт</x:v>
      </x:c>
      <x:c r="F20" s="112" t="str">
        <x:v>Категорийный менеджмент</x:v>
      </x:c>
      <x:c r="G20" s="113" t="str">
        <x:v>BASELINE</x:v>
      </x:c>
    </x:row>
    <x:row r="21" ht="38" customHeight="1">
      <x:c r="A21" s="111" t="str">
        <x:v>MDM-005</x:v>
      </x:c>
      <x:c r="B21" s="112" t="str">
        <x:v>НСИ и качество данных</x:v>
      </x:c>
      <x:c r="C21" s="112" t="str">
        <x:v>P3-P4</x:v>
      </x:c>
      <x:c r="D21" s="112" t="str">
        <x:v>TASK-013,TASK-021</x:v>
      </x:c>
      <x:c r="E21" s="112" t="str">
        <x:v>UAT / документ / контрольная сверка</x:v>
      </x:c>
      <x:c r="F21" s="112" t="str">
        <x:v>Технический лидер / КМ</x:v>
      </x:c>
      <x:c r="G21" s="113" t="str">
        <x:v>BASELINE</x:v>
      </x:c>
    </x:row>
    <x:row r="22" ht="38" customHeight="1">
      <x:c r="A22" s="111" t="str">
        <x:v>MDM-006</x:v>
      </x:c>
      <x:c r="B22" s="112" t="str">
        <x:v>НСИ и качество данных</x:v>
      </x:c>
      <x:c r="C22" s="112" t="str">
        <x:v>P2-P4</x:v>
      </x:c>
      <x:c r="D22" s="112" t="str">
        <x:v>D-03,TASK-023</x:v>
      </x:c>
      <x:c r="E22" s="112" t="str">
        <x:v>Протокол утверждения + контрольный расчёт</x:v>
      </x:c>
      <x:c r="F22" s="112" t="str">
        <x:v>КМ + закупки</x:v>
      </x:c>
      <x:c r="G22" s="113" t="str">
        <x:v>ОТКРЫТОЕ РЕШЕНИЕ</x:v>
      </x:c>
    </x:row>
    <x:row r="23" ht="38" customHeight="1">
      <x:c r="A23" s="111" t="str">
        <x:v>MDM-007</x:v>
      </x:c>
      <x:c r="B23" s="112" t="str">
        <x:v>НСИ и качество данных</x:v>
      </x:c>
      <x:c r="C23" s="112" t="str">
        <x:v>P1-P2</x:v>
      </x:c>
      <x:c r="D23" s="112" t="str">
        <x:v>P1-exchange</x:v>
      </x:c>
      <x:c r="E23" s="112" t="str">
        <x:v>UAT / документ / контрольная сверка</x:v>
      </x:c>
      <x:c r="F23" s="112" t="str">
        <x:v>ИТ + бухгалтерия</x:v>
      </x:c>
      <x:c r="G23" s="113" t="str">
        <x:v>BASELINE</x:v>
      </x:c>
    </x:row>
    <x:row r="24" ht="38" customHeight="1">
      <x:c r="A24" s="111" t="str">
        <x:v>MDM-008</x:v>
      </x:c>
      <x:c r="B24" s="112" t="str">
        <x:v>НСИ и качество данных</x:v>
      </x:c>
      <x:c r="C24" s="112" t="str">
        <x:v>P4-P5</x:v>
      </x:c>
      <x:c r="D24" s="112" t="str">
        <x:v>TASK-019,TASK-021</x:v>
      </x:c>
      <x:c r="E24" s="112" t="str">
        <x:v>UAT / документ / контрольная сверка</x:v>
      </x:c>
      <x:c r="F24" s="112" t="str">
        <x:v>Категорийный менеджер</x:v>
      </x:c>
      <x:c r="G24" s="113" t="str">
        <x:v>BASELINE</x:v>
      </x:c>
    </x:row>
    <x:row r="25" ht="38" customHeight="1">
      <x:c r="A25" s="111" t="str">
        <x:v>MDM-009</x:v>
      </x:c>
      <x:c r="B25" s="112" t="str">
        <x:v>НСИ и качество данных</x:v>
      </x:c>
      <x:c r="C25" s="112" t="str">
        <x:v>P4</x:v>
      </x:c>
      <x:c r="D25" s="112" t="str">
        <x:v>TASK-021</x:v>
      </x:c>
      <x:c r="E25" s="112" t="str">
        <x:v>UAT / документ / контрольная сверка</x:v>
      </x:c>
      <x:c r="F25" s="112" t="str">
        <x:v>Категорийный менеджер</x:v>
      </x:c>
      <x:c r="G25" s="113" t="str">
        <x:v>BASELINE</x:v>
      </x:c>
    </x:row>
    <x:row r="26" ht="38" customHeight="1">
      <x:c r="A26" s="111" t="str">
        <x:v>MDM-010</x:v>
      </x:c>
      <x:c r="B26" s="112" t="str">
        <x:v>НСИ и качество данных</x:v>
      </x:c>
      <x:c r="C26" s="112" t="str">
        <x:v>P3</x:v>
      </x:c>
      <x:c r="D26" s="112" t="str">
        <x:v>TASK-012,TASK-014</x:v>
      </x:c>
      <x:c r="E26" s="112" t="str">
        <x:v>UAT / документ / контрольная сверка</x:v>
      </x:c>
      <x:c r="F26" s="112" t="str">
        <x:v>Технический лидер</x:v>
      </x:c>
      <x:c r="G26" s="113" t="str">
        <x:v>BASELINE</x:v>
      </x:c>
    </x:row>
    <x:row r="27" ht="38" customHeight="1">
      <x:c r="A27" s="111" t="str">
        <x:v>MDM-011</x:v>
      </x:c>
      <x:c r="B27" s="112" t="str">
        <x:v>НСИ и качество данных</x:v>
      </x:c>
      <x:c r="C27" s="112" t="str">
        <x:v>P3-P7</x:v>
      </x:c>
      <x:c r="D27" s="112" t="str">
        <x:v>TASK-010,TASK-015</x:v>
      </x:c>
      <x:c r="E27" s="112" t="str">
        <x:v>UAT / документ / контрольная сверка</x:v>
      </x:c>
      <x:c r="F27" s="112" t="str">
        <x:v>Технический лидер / владелец 1С</x:v>
      </x:c>
      <x:c r="G27" s="113" t="str">
        <x:v>BASELINE</x:v>
      </x:c>
    </x:row>
    <x:row r="28" ht="38" customHeight="1">
      <x:c r="A28" s="111" t="str">
        <x:v>MDM-012</x:v>
      </x:c>
      <x:c r="B28" s="112" t="str">
        <x:v>НСИ и качество данных</x:v>
      </x:c>
      <x:c r="C28" s="112" t="str">
        <x:v>P2-P7</x:v>
      </x:c>
      <x:c r="D28" s="112" t="str">
        <x:v>TASK-024</x:v>
      </x:c>
      <x:c r="E28" s="112" t="str">
        <x:v>UAT / документ / контрольная сверка</x:v>
      </x:c>
      <x:c r="F28" s="112" t="str">
        <x:v>Владельцы процессов</x:v>
      </x:c>
      <x:c r="G28" s="113" t="str">
        <x:v>BASELINE</x:v>
      </x:c>
    </x:row>
    <x:row r="29" ht="38" customHeight="1">
      <x:c r="A29" s="111" t="str">
        <x:v>INT-001</x:v>
      </x:c>
      <x:c r="B29" s="112" t="str">
        <x:v>Интеграции и обмены</x:v>
      </x:c>
      <x:c r="C29" s="112" t="str">
        <x:v>P1</x:v>
      </x:c>
      <x:c r="D29" s="112" t="str">
        <x:v>G1</x:v>
      </x:c>
      <x:c r="E29" s="112" t="str">
        <x:v>UAT / документ / контрольная сверка</x:v>
      </x:c>
      <x:c r="F29" s="112" t="str">
        <x:v>ИТ + финансы</x:v>
      </x:c>
      <x:c r="G29" s="113" t="str">
        <x:v>BASELINE</x:v>
      </x:c>
    </x:row>
    <x:row r="30" ht="38" customHeight="1">
      <x:c r="A30" s="111" t="str">
        <x:v>INT-002</x:v>
      </x:c>
      <x:c r="B30" s="112" t="str">
        <x:v>Интеграции и обмены</x:v>
      </x:c>
      <x:c r="C30" s="112" t="str">
        <x:v>P1</x:v>
      </x:c>
      <x:c r="D30" s="112" t="str">
        <x:v>P1-exchange</x:v>
      </x:c>
      <x:c r="E30" s="112" t="str">
        <x:v>UAT / документ / контрольная сверка</x:v>
      </x:c>
      <x:c r="F30" s="112" t="str">
        <x:v>Владелец 1С</x:v>
      </x:c>
      <x:c r="G30" s="113" t="str">
        <x:v>BASELINE</x:v>
      </x:c>
    </x:row>
    <x:row r="31" ht="38" customHeight="1">
      <x:c r="A31" s="111" t="str">
        <x:v>INT-003</x:v>
      </x:c>
      <x:c r="B31" s="112" t="str">
        <x:v>Интеграции и обмены</x:v>
      </x:c>
      <x:c r="C31" s="112" t="str">
        <x:v>P1-P3</x:v>
      </x:c>
      <x:c r="D31" s="112" t="str">
        <x:v>Integration-wave</x:v>
      </x:c>
      <x:c r="E31" s="112" t="str">
        <x:v>UAT / документ / контрольная сверка</x:v>
      </x:c>
      <x:c r="F31" s="112" t="str">
        <x:v>Владелец 1С</x:v>
      </x:c>
      <x:c r="G31" s="113" t="str">
        <x:v>BASELINE</x:v>
      </x:c>
    </x:row>
    <x:row r="32" ht="38" customHeight="1">
      <x:c r="A32" s="111" t="str">
        <x:v>INT-004</x:v>
      </x:c>
      <x:c r="B32" s="112" t="str">
        <x:v>Интеграции и обмены</x:v>
      </x:c>
      <x:c r="C32" s="112" t="str">
        <x:v>P1-P7</x:v>
      </x:c>
      <x:c r="D32" s="112" t="str">
        <x:v>TASK-024</x:v>
      </x:c>
      <x:c r="E32" s="112" t="str">
        <x:v>UAT / документ / контрольная сверка</x:v>
      </x:c>
      <x:c r="F32" s="112" t="str">
        <x:v>ИТ + финансы</x:v>
      </x:c>
      <x:c r="G32" s="113" t="str">
        <x:v>BASELINE</x:v>
      </x:c>
    </x:row>
    <x:row r="33" ht="38" customHeight="1">
      <x:c r="A33" s="111" t="str">
        <x:v>INT-005</x:v>
      </x:c>
      <x:c r="B33" s="112" t="str">
        <x:v>Интеграции и обмены</x:v>
      </x:c>
      <x:c r="C33" s="112" t="str">
        <x:v>P3-P7</x:v>
      </x:c>
      <x:c r="D33" s="112" t="str">
        <x:v>TASK-003,TASK-018,TASK-020,TASK-033</x:v>
      </x:c>
      <x:c r="E33" s="112" t="str">
        <x:v>UAT / документ / контрольная сверка</x:v>
      </x:c>
      <x:c r="F33" s="112" t="str">
        <x:v>Технический лидер / владелец 1С</x:v>
      </x:c>
      <x:c r="G33" s="113" t="str">
        <x:v>ЧАСТИЧНО РЕАЛИЗОВАНО</x:v>
      </x:c>
    </x:row>
    <x:row r="34" ht="38" customHeight="1">
      <x:c r="A34" s="111" t="str">
        <x:v>INT-006</x:v>
      </x:c>
      <x:c r="B34" s="112" t="str">
        <x:v>Интеграции и обмены</x:v>
      </x:c>
      <x:c r="C34" s="112" t="str">
        <x:v>P4-P5</x:v>
      </x:c>
      <x:c r="D34" s="112" t="str">
        <x:v>TASK-020,TASK-030</x:v>
      </x:c>
      <x:c r="E34" s="112" t="str">
        <x:v>UAT / документ / контрольная сверка</x:v>
      </x:c>
      <x:c r="F34" s="112" t="str">
        <x:v>Владелец 1С</x:v>
      </x:c>
      <x:c r="G34" s="113" t="str">
        <x:v>BASELINE</x:v>
      </x:c>
    </x:row>
    <x:row r="35" ht="38" customHeight="1">
      <x:c r="A35" s="111" t="str">
        <x:v>INT-007</x:v>
      </x:c>
      <x:c r="B35" s="112" t="str">
        <x:v>Интеграции и обмены</x:v>
      </x:c>
      <x:c r="C35" s="112" t="str">
        <x:v>P3-P5</x:v>
      </x:c>
      <x:c r="D35" s="112" t="str">
        <x:v>TASK-001,TASK-015,TASK-026</x:v>
      </x:c>
      <x:c r="E35" s="112" t="str">
        <x:v>UAT / документ / контрольная сверка</x:v>
      </x:c>
      <x:c r="F35" s="112" t="str">
        <x:v>Технический лидер</x:v>
      </x:c>
      <x:c r="G35" s="113" t="str">
        <x:v>BASELINE</x:v>
      </x:c>
    </x:row>
    <x:row r="36" ht="38" customHeight="1">
      <x:c r="A36" s="111" t="str">
        <x:v>INT-008</x:v>
      </x:c>
      <x:c r="B36" s="112" t="str">
        <x:v>Интеграции и обмены</x:v>
      </x:c>
      <x:c r="C36" s="112" t="str">
        <x:v>P4-P5</x:v>
      </x:c>
      <x:c r="D36" s="112" t="str">
        <x:v>TASK-019</x:v>
      </x:c>
      <x:c r="E36" s="112" t="str">
        <x:v>UAT / документ / контрольная сверка</x:v>
      </x:c>
      <x:c r="F36" s="112" t="str">
        <x:v>Владелец 1С</x:v>
      </x:c>
      <x:c r="G36" s="113" t="str">
        <x:v>BASELINE</x:v>
      </x:c>
    </x:row>
    <x:row r="37" ht="38" customHeight="1">
      <x:c r="A37" s="111" t="str">
        <x:v>INT-009</x:v>
      </x:c>
      <x:c r="B37" s="112" t="str">
        <x:v>Интеграции и обмены</x:v>
      </x:c>
      <x:c r="C37" s="112" t="str">
        <x:v>P3</x:v>
      </x:c>
      <x:c r="D37" s="112" t="str">
        <x:v>WORK-003/TASK-005</x:v>
      </x:c>
      <x:c r="E37" s="112" t="str">
        <x:v>UAT / документ / контрольная сверка</x:v>
      </x:c>
      <x:c r="F37" s="112" t="str">
        <x:v>Технический лидер</x:v>
      </x:c>
      <x:c r="G37" s="113" t="str">
        <x:v>РЕАЛИЗОВАНО</x:v>
      </x:c>
    </x:row>
    <x:row r="38" ht="38" customHeight="1">
      <x:c r="A38" s="111" t="str">
        <x:v>INT-010</x:v>
      </x:c>
      <x:c r="B38" s="112" t="str">
        <x:v>Интеграции и обмены</x:v>
      </x:c>
      <x:c r="C38" s="112" t="str">
        <x:v>P3-P7</x:v>
      </x:c>
      <x:c r="D38" s="112" t="str">
        <x:v>ADR-001,TASK-018</x:v>
      </x:c>
      <x:c r="E38" s="112" t="str">
        <x:v>UAT / документ / контрольная сверка</x:v>
      </x:c>
      <x:c r="F38" s="112" t="str">
        <x:v>Архитектурный комитет</x:v>
      </x:c>
      <x:c r="G38" s="113" t="str">
        <x:v>BASELINE</x:v>
      </x:c>
    </x:row>
    <x:row r="39" ht="38" customHeight="1">
      <x:c r="A39" s="111" t="str">
        <x:v>IMP-001</x:v>
      </x:c>
      <x:c r="B39" s="112" t="str">
        <x:v>Прайсы и нормализация</x:v>
      </x:c>
      <x:c r="C39" s="112" t="str">
        <x:v>P3</x:v>
      </x:c>
      <x:c r="D39" s="112" t="str">
        <x:v>WORK-002/TASK-004</x:v>
      </x:c>
      <x:c r="E39" s="112" t="str">
        <x:v>UAT / документ / контрольная сверка</x:v>
      </x:c>
      <x:c r="F39" s="112" t="str">
        <x:v>Технический лидер</x:v>
      </x:c>
      <x:c r="G39" s="113" t="str">
        <x:v>РЕАЛИЗОВАНО</x:v>
      </x:c>
    </x:row>
    <x:row r="40" ht="38" customHeight="1">
      <x:c r="A40" s="111" t="str">
        <x:v>IMP-002</x:v>
      </x:c>
      <x:c r="B40" s="112" t="str">
        <x:v>Прайсы и нормализация</x:v>
      </x:c>
      <x:c r="C40" s="112" t="str">
        <x:v>P3</x:v>
      </x:c>
      <x:c r="D40" s="112" t="str">
        <x:v>WORK-004/TASK-006</x:v>
      </x:c>
      <x:c r="E40" s="112" t="str">
        <x:v>UAT / документ / контрольная сверка</x:v>
      </x:c>
      <x:c r="F40" s="112" t="str">
        <x:v>Технический лидер</x:v>
      </x:c>
      <x:c r="G40" s="113" t="str">
        <x:v>РЕАЛИЗОВАНО</x:v>
      </x:c>
    </x:row>
    <x:row r="41" ht="38" customHeight="1">
      <x:c r="A41" s="111" t="str">
        <x:v>IMP-003</x:v>
      </x:c>
      <x:c r="B41" s="112" t="str">
        <x:v>Прайсы и нормализация</x:v>
      </x:c>
      <x:c r="C41" s="112" t="str">
        <x:v>P3</x:v>
      </x:c>
      <x:c r="D41" s="112" t="str">
        <x:v>WORK-005/TASK-007</x:v>
      </x:c>
      <x:c r="E41" s="112" t="str">
        <x:v>UAT / документ / контрольная сверка</x:v>
      </x:c>
      <x:c r="F41" s="112" t="str">
        <x:v>Технический лидер</x:v>
      </x:c>
      <x:c r="G41" s="113" t="str">
        <x:v>НА РЕВЬЮ</x:v>
      </x:c>
    </x:row>
    <x:row r="42" ht="38" customHeight="1">
      <x:c r="A42" s="111" t="str">
        <x:v>IMP-004</x:v>
      </x:c>
      <x:c r="B42" s="112" t="str">
        <x:v>Прайсы и нормализация</x:v>
      </x:c>
      <x:c r="C42" s="112" t="str">
        <x:v>P3</x:v>
      </x:c>
      <x:c r="D42" s="112" t="str">
        <x:v>WORK-007/TASK-008</x:v>
      </x:c>
      <x:c r="E42" s="112" t="str">
        <x:v>UAT / документ / контрольная сверка</x:v>
      </x:c>
      <x:c r="F42" s="112" t="str">
        <x:v>Технический лидер</x:v>
      </x:c>
      <x:c r="G42" s="113" t="str">
        <x:v>В РАЗРАБОТКЕ</x:v>
      </x:c>
    </x:row>
    <x:row r="43" ht="38" customHeight="1">
      <x:c r="A43" s="111" t="str">
        <x:v>IMP-005</x:v>
      </x:c>
      <x:c r="B43" s="112" t="str">
        <x:v>Прайсы и нормализация</x:v>
      </x:c>
      <x:c r="C43" s="112" t="str">
        <x:v>P3</x:v>
      </x:c>
      <x:c r="D43" s="112" t="str">
        <x:v>WORK-006/TASK-009</x:v>
      </x:c>
      <x:c r="E43" s="112" t="str">
        <x:v>UAT / документ / контрольная сверка</x:v>
      </x:c>
      <x:c r="F43" s="112" t="str">
        <x:v>Технический лидер</x:v>
      </x:c>
      <x:c r="G43" s="113" t="str">
        <x:v>ЗАПЛАНИРОВАНО</x:v>
      </x:c>
    </x:row>
    <x:row r="44" ht="38" customHeight="1">
      <x:c r="A44" s="111" t="str">
        <x:v>IMP-006</x:v>
      </x:c>
      <x:c r="B44" s="112" t="str">
        <x:v>Прайсы и нормализация</x:v>
      </x:c>
      <x:c r="C44" s="112" t="str">
        <x:v>P3</x:v>
      </x:c>
      <x:c r="D44" s="112" t="str">
        <x:v>WORK-008/TASK-010</x:v>
      </x:c>
      <x:c r="E44" s="112" t="str">
        <x:v>UAT / документ / контрольная сверка</x:v>
      </x:c>
      <x:c r="F44" s="112" t="str">
        <x:v>Технический лидер</x:v>
      </x:c>
      <x:c r="G44" s="113" t="str">
        <x:v>НА РЕВЬЮ</x:v>
      </x:c>
    </x:row>
    <x:row r="45" ht="38" customHeight="1">
      <x:c r="A45" s="111" t="str">
        <x:v>IMP-007</x:v>
      </x:c>
      <x:c r="B45" s="112" t="str">
        <x:v>Прайсы и нормализация</x:v>
      </x:c>
      <x:c r="C45" s="112" t="str">
        <x:v>P3</x:v>
      </x:c>
      <x:c r="D45" s="112" t="str">
        <x:v>WORK-009/TASK-011</x:v>
      </x:c>
      <x:c r="E45" s="112" t="str">
        <x:v>UAT / документ / контрольная сверка</x:v>
      </x:c>
      <x:c r="F45" s="112" t="str">
        <x:v>Технический лидер</x:v>
      </x:c>
      <x:c r="G45" s="113" t="str">
        <x:v>НА РЕВЬЮ</x:v>
      </x:c>
    </x:row>
    <x:row r="46" ht="38" customHeight="1">
      <x:c r="A46" s="111" t="str">
        <x:v>IMP-008</x:v>
      </x:c>
      <x:c r="B46" s="112" t="str">
        <x:v>Прайсы и нормализация</x:v>
      </x:c>
      <x:c r="C46" s="112" t="str">
        <x:v>P3</x:v>
      </x:c>
      <x:c r="D46" s="112" t="str">
        <x:v>TASK-012</x:v>
      </x:c>
      <x:c r="E46" s="112" t="str">
        <x:v>UAT / документ / контрольная сверка</x:v>
      </x:c>
      <x:c r="F46" s="112" t="str">
        <x:v>Технический лидер</x:v>
      </x:c>
      <x:c r="G46" s="113" t="str">
        <x:v>ЗАПЛАНИРОВАНО</x:v>
      </x:c>
    </x:row>
    <x:row r="47" ht="38" customHeight="1">
      <x:c r="A47" s="111" t="str">
        <x:v>IMP-009</x:v>
      </x:c>
      <x:c r="B47" s="112" t="str">
        <x:v>Прайсы и нормализация</x:v>
      </x:c>
      <x:c r="C47" s="112" t="str">
        <x:v>P3</x:v>
      </x:c>
      <x:c r="D47" s="112" t="str">
        <x:v>TASK-013</x:v>
      </x:c>
      <x:c r="E47" s="112" t="str">
        <x:v>UAT / документ / контрольная сверка</x:v>
      </x:c>
      <x:c r="F47" s="112" t="str">
        <x:v>Технический лидер</x:v>
      </x:c>
      <x:c r="G47" s="113" t="str">
        <x:v>ЗАПЛАНИРОВАНО</x:v>
      </x:c>
    </x:row>
    <x:row r="48" ht="38" customHeight="1">
      <x:c r="A48" s="111" t="str">
        <x:v>IMP-010</x:v>
      </x:c>
      <x:c r="B48" s="112" t="str">
        <x:v>Прайсы и нормализация</x:v>
      </x:c>
      <x:c r="C48" s="112" t="str">
        <x:v>P3</x:v>
      </x:c>
      <x:c r="D48" s="112" t="str">
        <x:v>TASK-014</x:v>
      </x:c>
      <x:c r="E48" s="112" t="str">
        <x:v>UAT / документ / контрольная сверка</x:v>
      </x:c>
      <x:c r="F48" s="112" t="str">
        <x:v>Технический лидер</x:v>
      </x:c>
      <x:c r="G48" s="113" t="str">
        <x:v>ЗАПЛАНИРОВАНО</x:v>
      </x:c>
    </x:row>
    <x:row r="49" ht="38" customHeight="1">
      <x:c r="A49" s="111" t="str">
        <x:v>IMP-011</x:v>
      </x:c>
      <x:c r="B49" s="112" t="str">
        <x:v>Прайсы и нормализация</x:v>
      </x:c>
      <x:c r="C49" s="112" t="str">
        <x:v>P3</x:v>
      </x:c>
      <x:c r="D49" s="112" t="str">
        <x:v>TASK-015</x:v>
      </x:c>
      <x:c r="E49" s="112" t="str">
        <x:v>UAT / документ / контрольная сверка</x:v>
      </x:c>
      <x:c r="F49" s="112" t="str">
        <x:v>Технический лидер</x:v>
      </x:c>
      <x:c r="G49" s="113" t="str">
        <x:v>ЗАПЛАНИРОВАНО</x:v>
      </x:c>
    </x:row>
    <x:row r="50" ht="38" customHeight="1">
      <x:c r="A50" s="111" t="str">
        <x:v>IMP-012</x:v>
      </x:c>
      <x:c r="B50" s="112" t="str">
        <x:v>Прайсы и нормализация</x:v>
      </x:c>
      <x:c r="C50" s="112" t="str">
        <x:v>P3-P4</x:v>
      </x:c>
      <x:c r="D50" s="112" t="str">
        <x:v>TASK-016</x:v>
      </x:c>
      <x:c r="E50" s="112" t="str">
        <x:v>UAT / документ / контрольная сверка</x:v>
      </x:c>
      <x:c r="F50" s="112" t="str">
        <x:v>КМ + техлид</x:v>
      </x:c>
      <x:c r="G50" s="113" t="str">
        <x:v>ОТКРЫТОЕ РЕШЕНИЕ</x:v>
      </x:c>
    </x:row>
    <x:row r="51" ht="38" customHeight="1">
      <x:c r="A51" s="111" t="str">
        <x:v>IMP-013</x:v>
      </x:c>
      <x:c r="B51" s="112" t="str">
        <x:v>Прайсы и нормализация</x:v>
      </x:c>
      <x:c r="C51" s="112" t="str">
        <x:v>P3-P4</x:v>
      </x:c>
      <x:c r="D51" s="112" t="str">
        <x:v>TASK-017</x:v>
      </x:c>
      <x:c r="E51" s="112" t="str">
        <x:v>UAT / документ / контрольная сверка</x:v>
      </x:c>
      <x:c r="F51" s="112" t="str">
        <x:v>Product owner</x:v>
      </x:c>
      <x:c r="G51" s="113" t="str">
        <x:v>ЗАПЛАНИРОВАНО</x:v>
      </x:c>
    </x:row>
    <x:row r="52" ht="38" customHeight="1">
      <x:c r="A52" s="111" t="str">
        <x:v>IMP-014</x:v>
      </x:c>
      <x:c r="B52" s="112" t="str">
        <x:v>Прайсы и нормализация</x:v>
      </x:c>
      <x:c r="C52" s="112" t="str">
        <x:v>P3-P7</x:v>
      </x:c>
      <x:c r="D52" s="112" t="str">
        <x:v>WORK-009/TASK-011</x:v>
      </x:c>
      <x:c r="E52" s="112" t="str">
        <x:v>UAT / документ / контрольная сверка</x:v>
      </x:c>
      <x:c r="F52" s="112" t="str">
        <x:v>Технический лидер</x:v>
      </x:c>
      <x:c r="G52" s="113" t="str">
        <x:v>НА РЕВЬЮ</x:v>
      </x:c>
    </x:row>
    <x:row r="53" ht="38" customHeight="1">
      <x:c r="A53" s="111" t="str">
        <x:v>ORD-001</x:v>
      </x:c>
      <x:c r="B53" s="112" t="str">
        <x:v>Закупки и заказ</x:v>
      </x:c>
      <x:c r="C53" s="112" t="str">
        <x:v>P4</x:v>
      </x:c>
      <x:c r="D53" s="112" t="str">
        <x:v>BR-001,TASK-023</x:v>
      </x:c>
      <x:c r="E53" s="112" t="str">
        <x:v>UAT / документ / контрольная сверка</x:v>
      </x:c>
      <x:c r="F53" s="112" t="str">
        <x:v>Руководитель КМ</x:v>
      </x:c>
      <x:c r="G53" s="113" t="str">
        <x:v>BASELINE</x:v>
      </x:c>
    </x:row>
    <x:row r="54" ht="38" customHeight="1">
      <x:c r="A54" s="111" t="str">
        <x:v>ORD-002</x:v>
      </x:c>
      <x:c r="B54" s="112" t="str">
        <x:v>Закупки и заказ</x:v>
      </x:c>
      <x:c r="C54" s="112" t="str">
        <x:v>P4</x:v>
      </x:c>
      <x:c r="D54" s="112" t="str">
        <x:v>TASK-023</x:v>
      </x:c>
      <x:c r="E54" s="112" t="str">
        <x:v>UAT / документ / контрольная сверка</x:v>
      </x:c>
      <x:c r="F54" s="112" t="str">
        <x:v>Владелец 1С</x:v>
      </x:c>
      <x:c r="G54" s="113" t="str">
        <x:v>BASELINE</x:v>
      </x:c>
    </x:row>
    <x:row r="55" ht="38" customHeight="1">
      <x:c r="A55" s="111" t="str">
        <x:v>ORD-003</x:v>
      </x:c>
      <x:c r="B55" s="112" t="str">
        <x:v>Закупки и заказ</x:v>
      </x:c>
      <x:c r="C55" s="112" t="str">
        <x:v>P2-P4</x:v>
      </x:c>
      <x:c r="D55" s="112" t="str">
        <x:v>TASK-023</x:v>
      </x:c>
      <x:c r="E55" s="112" t="str">
        <x:v>Протокол утверждения + контрольный расчёт</x:v>
      </x:c>
      <x:c r="F55" s="112" t="str">
        <x:v>КМ + закупки + финансы</x:v>
      </x:c>
      <x:c r="G55" s="113" t="str">
        <x:v>ОТКРЫТОЕ РЕШЕНИЕ</x:v>
      </x:c>
    </x:row>
    <x:row r="56" ht="38" customHeight="1">
      <x:c r="A56" s="111" t="str">
        <x:v>ORD-004</x:v>
      </x:c>
      <x:c r="B56" s="112" t="str">
        <x:v>Закупки и заказ</x:v>
      </x:c>
      <x:c r="C56" s="112" t="str">
        <x:v>P2-P4</x:v>
      </x:c>
      <x:c r="D56" s="112" t="str">
        <x:v>TASK-023</x:v>
      </x:c>
      <x:c r="E56" s="112" t="str">
        <x:v>UAT / документ / контрольная сверка</x:v>
      </x:c>
      <x:c r="F56" s="112" t="str">
        <x:v>Категорийный менеджер</x:v>
      </x:c>
      <x:c r="G56" s="113" t="str">
        <x:v>ТРЕБУЕТ ВЕРИФИКАЦИИ</x:v>
      </x:c>
    </x:row>
    <x:row r="57" ht="38" customHeight="1">
      <x:c r="A57" s="111" t="str">
        <x:v>ORD-005</x:v>
      </x:c>
      <x:c r="B57" s="112" t="str">
        <x:v>Закупки и заказ</x:v>
      </x:c>
      <x:c r="C57" s="112" t="str">
        <x:v>P4</x:v>
      </x:c>
      <x:c r="D57" s="112" t="str">
        <x:v>TASK-021,TASK-023</x:v>
      </x:c>
      <x:c r="E57" s="112" t="str">
        <x:v>UAT / документ / контрольная сверка</x:v>
      </x:c>
      <x:c r="F57" s="112" t="str">
        <x:v>Категорийный менеджер</x:v>
      </x:c>
      <x:c r="G57" s="113" t="str">
        <x:v>BASELINE</x:v>
      </x:c>
    </x:row>
    <x:row r="58" ht="38" customHeight="1">
      <x:c r="A58" s="111" t="str">
        <x:v>ORD-006</x:v>
      </x:c>
      <x:c r="B58" s="112" t="str">
        <x:v>Закупки и заказ</x:v>
      </x:c>
      <x:c r="C58" s="112" t="str">
        <x:v>P4</x:v>
      </x:c>
      <x:c r="D58" s="112" t="str">
        <x:v>TASK-021</x:v>
      </x:c>
      <x:c r="E58" s="112" t="str">
        <x:v>UAT / документ / контрольная сверка</x:v>
      </x:c>
      <x:c r="F58" s="112" t="str">
        <x:v>Категорийный менеджер</x:v>
      </x:c>
      <x:c r="G58" s="113" t="str">
        <x:v>BASELINE</x:v>
      </x:c>
    </x:row>
    <x:row r="59" ht="38" customHeight="1">
      <x:c r="A59" s="111" t="str">
        <x:v>ORD-007</x:v>
      </x:c>
      <x:c r="B59" s="112" t="str">
        <x:v>Закупки и заказ</x:v>
      </x:c>
      <x:c r="C59" s="112" t="str">
        <x:v>P2-P4</x:v>
      </x:c>
      <x:c r="D59" s="112" t="str">
        <x:v>D-04,TASK-023</x:v>
      </x:c>
      <x:c r="E59" s="112" t="str">
        <x:v>Протокол утверждения + контрольный расчёт</x:v>
      </x:c>
      <x:c r="F59" s="112" t="str">
        <x:v>Закупки + КМ</x:v>
      </x:c>
      <x:c r="G59" s="113" t="str">
        <x:v>ОТКРЫТОЕ РЕШЕНИЕ</x:v>
      </x:c>
    </x:row>
    <x:row r="60" ht="38" customHeight="1">
      <x:c r="A60" s="111" t="str">
        <x:v>ORD-009</x:v>
      </x:c>
      <x:c r="B60" s="112" t="str">
        <x:v>Закупки и заказ</x:v>
      </x:c>
      <x:c r="C60" s="112" t="str">
        <x:v>P4</x:v>
      </x:c>
      <x:c r="D60" s="112" t="str">
        <x:v>TASK-023</x:v>
      </x:c>
      <x:c r="E60" s="112" t="str">
        <x:v>UAT / документ / контрольная сверка</x:v>
      </x:c>
      <x:c r="F60" s="112" t="str">
        <x:v>Категорийный менеджер</x:v>
      </x:c>
      <x:c r="G60" s="113" t="str">
        <x:v>BASELINE</x:v>
      </x:c>
    </x:row>
    <x:row r="61" ht="38" customHeight="1">
      <x:c r="A61" s="111" t="str">
        <x:v>ORD-010</x:v>
      </x:c>
      <x:c r="B61" s="112" t="str">
        <x:v>Закупки и заказ</x:v>
      </x:c>
      <x:c r="C61" s="112" t="str">
        <x:v>P2-P4</x:v>
      </x:c>
      <x:c r="D61" s="112" t="str">
        <x:v>TASK-017/TASK-023</x:v>
      </x:c>
      <x:c r="E61" s="112" t="str">
        <x:v>UAT / документ / контрольная сверка</x:v>
      </x:c>
      <x:c r="F61" s="112" t="str">
        <x:v>Руководитель КМ</x:v>
      </x:c>
      <x:c r="G61" s="113" t="str">
        <x:v>BASELINE</x:v>
      </x:c>
    </x:row>
    <x:row r="62" ht="38" customHeight="1">
      <x:c r="A62" s="111" t="str">
        <x:v>ORD-011</x:v>
      </x:c>
      <x:c r="B62" s="112" t="str">
        <x:v>Закупки и заказ</x:v>
      </x:c>
      <x:c r="C62" s="112" t="str">
        <x:v>P4-P6</x:v>
      </x:c>
      <x:c r="D62" s="112" t="str">
        <x:v>TASK-030,TASK-032</x:v>
      </x:c>
      <x:c r="E62" s="112" t="str">
        <x:v>UAT / документ / контрольная сверка</x:v>
      </x:c>
      <x:c r="F62" s="112" t="str">
        <x:v>Закупки</x:v>
      </x:c>
      <x:c r="G62" s="113" t="str">
        <x:v>BASELINE</x:v>
      </x:c>
    </x:row>
    <x:row r="63" ht="38" customHeight="1">
      <x:c r="A63" s="111" t="str">
        <x:v>ORD-012</x:v>
      </x:c>
      <x:c r="B63" s="112" t="str">
        <x:v>Закупки и заказ</x:v>
      </x:c>
      <x:c r="C63" s="112" t="str">
        <x:v>P4-P7</x:v>
      </x:c>
      <x:c r="D63" s="112" t="str">
        <x:v>TASK-024</x:v>
      </x:c>
      <x:c r="E63" s="112" t="str">
        <x:v>UAT / документ / контрольная сверка</x:v>
      </x:c>
      <x:c r="F63" s="112" t="str">
        <x:v>Руководитель КМ</x:v>
      </x:c>
      <x:c r="G63" s="113" t="str">
        <x:v>BASELINE</x:v>
      </x:c>
    </x:row>
    <x:row r="64" ht="38" customHeight="1">
      <x:c r="A64" s="111" t="str">
        <x:v>PRC-001</x:v>
      </x:c>
      <x:c r="B64" s="112" t="str">
        <x:v>Цены и маржинальность</x:v>
      </x:c>
      <x:c r="C64" s="112" t="str">
        <x:v>P2</x:v>
      </x:c>
      <x:c r="D64" s="112" t="str">
        <x:v>D-04</x:v>
      </x:c>
      <x:c r="E64" s="112" t="str">
        <x:v>Протокол утверждения + контрольный расчёт</x:v>
      </x:c>
      <x:c r="F64" s="112" t="str">
        <x:v>Коммерческий директор</x:v>
      </x:c>
      <x:c r="G64" s="113" t="str">
        <x:v>ОТКРЫТОЕ РЕШЕНИЕ</x:v>
      </x:c>
    </x:row>
    <x:row r="65" ht="38" customHeight="1">
      <x:c r="A65" s="111" t="str">
        <x:v>PRC-002</x:v>
      </x:c>
      <x:c r="B65" s="112" t="str">
        <x:v>Цены и маржинальность</x:v>
      </x:c>
      <x:c r="C65" s="112" t="str">
        <x:v>P3-P4</x:v>
      </x:c>
      <x:c r="D65" s="112" t="str">
        <x:v>TASK-022</x:v>
      </x:c>
      <x:c r="E65" s="112" t="str">
        <x:v>UAT / документ / контрольная сверка</x:v>
      </x:c>
      <x:c r="F65" s="112" t="str">
        <x:v>Категорийный менеджер</x:v>
      </x:c>
      <x:c r="G65" s="113" t="str">
        <x:v>BASELINE</x:v>
      </x:c>
    </x:row>
    <x:row r="66" ht="38" customHeight="1">
      <x:c r="A66" s="111" t="str">
        <x:v>PRC-003</x:v>
      </x:c>
      <x:c r="B66" s="112" t="str">
        <x:v>Цены и маржинальность</x:v>
      </x:c>
      <x:c r="C66" s="112" t="str">
        <x:v>P2-P6</x:v>
      </x:c>
      <x:c r="D66" s="112" t="str">
        <x:v>FIN-cost</x:v>
      </x:c>
      <x:c r="E66" s="112" t="str">
        <x:v>Протокол утверждения + контрольный расчёт</x:v>
      </x:c>
      <x:c r="F66" s="112" t="str">
        <x:v>Финансовый директор</x:v>
      </x:c>
      <x:c r="G66" s="113" t="str">
        <x:v>ОТКРЫТОЕ РЕШЕНИЕ</x:v>
      </x:c>
    </x:row>
    <x:row r="67" ht="38" customHeight="1">
      <x:c r="A67" s="111" t="str">
        <x:v>PRC-004</x:v>
      </x:c>
      <x:c r="B67" s="112" t="str">
        <x:v>Цены и маржинальность</x:v>
      </x:c>
      <x:c r="C67" s="112" t="str">
        <x:v>P2-P6</x:v>
      </x:c>
      <x:c r="D67" s="112" t="str">
        <x:v>Future pricing</x:v>
      </x:c>
      <x:c r="E67" s="112" t="str">
        <x:v>Протокол утверждения + контрольный расчёт</x:v>
      </x:c>
      <x:c r="F67" s="112" t="str">
        <x:v>Коммерческий директор</x:v>
      </x:c>
      <x:c r="G67" s="113" t="str">
        <x:v>ТРЕБУЕТ ВЕРИФИКАЦИИ</x:v>
      </x:c>
    </x:row>
    <x:row r="68" ht="38" customHeight="1">
      <x:c r="A68" s="111" t="str">
        <x:v>PRC-005</x:v>
      </x:c>
      <x:c r="B68" s="112" t="str">
        <x:v>Цены и маржинальность</x:v>
      </x:c>
      <x:c r="C68" s="112" t="str">
        <x:v>P6</x:v>
      </x:c>
      <x:c r="D68" s="112" t="str">
        <x:v>Future pricing</x:v>
      </x:c>
      <x:c r="E68" s="112" t="str">
        <x:v>UAT / документ / контрольная сверка</x:v>
      </x:c>
      <x:c r="F68" s="112" t="str">
        <x:v>Коммерческий директор</x:v>
      </x:c>
      <x:c r="G68" s="113" t="str">
        <x:v>ТРЕБУЕТ ВЕРИФИКАЦИИ</x:v>
      </x:c>
    </x:row>
    <x:row r="69" ht="38" customHeight="1">
      <x:c r="A69" s="111" t="str">
        <x:v>PRC-007</x:v>
      </x:c>
      <x:c r="B69" s="112" t="str">
        <x:v>Цены и маржинальность</x:v>
      </x:c>
      <x:c r="C69" s="112" t="str">
        <x:v>P4-P6</x:v>
      </x:c>
      <x:c r="D69" s="112" t="str">
        <x:v>TASK-022</x:v>
      </x:c>
      <x:c r="E69" s="112" t="str">
        <x:v>UAT / документ / контрольная сверка</x:v>
      </x:c>
      <x:c r="F69" s="112" t="str">
        <x:v>Владелец 1С</x:v>
      </x:c>
      <x:c r="G69" s="113" t="str">
        <x:v>BASELINE</x:v>
      </x:c>
    </x:row>
    <x:row r="70" ht="38" customHeight="1">
      <x:c r="A70" s="111" t="str">
        <x:v>PRC-008</x:v>
      </x:c>
      <x:c r="B70" s="112" t="str">
        <x:v>Цены и маржинальность</x:v>
      </x:c>
      <x:c r="C70" s="112" t="str">
        <x:v>P2-P6</x:v>
      </x:c>
      <x:c r="D70" s="112" t="str">
        <x:v>G2/G6</x:v>
      </x:c>
      <x:c r="E70" s="112" t="str">
        <x:v>Протокол утверждения + контрольный расчёт</x:v>
      </x:c>
      <x:c r="F70" s="112" t="str">
        <x:v>Финансовый директор</x:v>
      </x:c>
      <x:c r="G70" s="113" t="str">
        <x:v>ОТКРЫТОЕ РЕШЕНИЕ</x:v>
      </x:c>
    </x:row>
    <x:row r="71" ht="38" customHeight="1">
      <x:c r="A71" s="111" t="str">
        <x:v>PRC-009</x:v>
      </x:c>
      <x:c r="B71" s="112" t="str">
        <x:v>Цены и маржинальность</x:v>
      </x:c>
      <x:c r="C71" s="112" t="str">
        <x:v>P3-P6</x:v>
      </x:c>
      <x:c r="D71" s="112" t="str">
        <x:v>TASK-013,TASK-022</x:v>
      </x:c>
      <x:c r="E71" s="112" t="str">
        <x:v>UAT / документ / контрольная сверка</x:v>
      </x:c>
      <x:c r="F71" s="112" t="str">
        <x:v>КМ</x:v>
      </x:c>
      <x:c r="G71" s="113" t="str">
        <x:v>BASELINE</x:v>
      </x:c>
    </x:row>
    <x:row r="72" ht="38" customHeight="1">
      <x:c r="A72" s="111" t="str">
        <x:v>PRC-010</x:v>
      </x:c>
      <x:c r="B72" s="112" t="str">
        <x:v>Цены и маржинальность</x:v>
      </x:c>
      <x:c r="C72" s="112" t="str">
        <x:v>P4-P6</x:v>
      </x:c>
      <x:c r="D72" s="112" t="str">
        <x:v>TASK-014/TASK-022</x:v>
      </x:c>
      <x:c r="E72" s="112" t="str">
        <x:v>UAT / документ / контрольная сверка</x:v>
      </x:c>
      <x:c r="F72" s="112" t="str">
        <x:v>Коммерческий директор</x:v>
      </x:c>
      <x:c r="G72" s="113" t="str">
        <x:v>BASELINE</x:v>
      </x:c>
    </x:row>
    <x:row r="73" ht="38" customHeight="1">
      <x:c r="A73" s="111" t="str">
        <x:v>INV-001</x:v>
      </x:c>
      <x:c r="B73" s="112" t="str">
        <x:v>Остатки, склад и движение</x:v>
      </x:c>
      <x:c r="C73" s="112" t="str">
        <x:v>P2-P6</x:v>
      </x:c>
      <x:c r="D73" s="112" t="str">
        <x:v>G2/TASK-023</x:v>
      </x:c>
      <x:c r="E73" s="112" t="str">
        <x:v>UAT / документ / контрольная сверка</x:v>
      </x:c>
      <x:c r="F73" s="112" t="str">
        <x:v>Склад + КМ</x:v>
      </x:c>
      <x:c r="G73" s="113" t="str">
        <x:v>BASELINE</x:v>
      </x:c>
    </x:row>
    <x:row r="74" ht="38" customHeight="1">
      <x:c r="A74" s="111" t="str">
        <x:v>INV-002</x:v>
      </x:c>
      <x:c r="B74" s="112" t="str">
        <x:v>Остатки, склад и движение</x:v>
      </x:c>
      <x:c r="C74" s="112" t="str">
        <x:v>P1-P6</x:v>
      </x:c>
      <x:c r="D74" s="112" t="str">
        <x:v>P1/G6</x:v>
      </x:c>
      <x:c r="E74" s="112" t="str">
        <x:v>UAT / документ / контрольная сверка</x:v>
      </x:c>
      <x:c r="F74" s="112" t="str">
        <x:v>Финансы + склад</x:v>
      </x:c>
      <x:c r="G74" s="113" t="str">
        <x:v>BASELINE</x:v>
      </x:c>
    </x:row>
    <x:row r="75" ht="38" customHeight="1">
      <x:c r="A75" s="111" t="str">
        <x:v>INV-003</x:v>
      </x:c>
      <x:c r="B75" s="112" t="str">
        <x:v>Остатки, склад и движение</x:v>
      </x:c>
      <x:c r="C75" s="112" t="str">
        <x:v>P1-P7</x:v>
      </x:c>
      <x:c r="D75" s="112" t="str">
        <x:v>P1</x:v>
      </x:c>
      <x:c r="E75" s="112" t="str">
        <x:v>UAT / документ / контрольная сверка</x:v>
      </x:c>
      <x:c r="F75" s="112" t="str">
        <x:v>Финансовый директор</x:v>
      </x:c>
      <x:c r="G75" s="113" t="str">
        <x:v>BASELINE</x:v>
      </x:c>
    </x:row>
    <x:row r="76" ht="38" customHeight="1">
      <x:c r="A76" s="111" t="str">
        <x:v>INV-004</x:v>
      </x:c>
      <x:c r="B76" s="112" t="str">
        <x:v>Остатки, склад и движение</x:v>
      </x:c>
      <x:c r="C76" s="112" t="str">
        <x:v>P6</x:v>
      </x:c>
      <x:c r="D76" s="112" t="str">
        <x:v>BI-wave</x:v>
      </x:c>
      <x:c r="E76" s="112" t="str">
        <x:v>UAT / документ / контрольная сверка</x:v>
      </x:c>
      <x:c r="F76" s="112" t="str">
        <x:v>Продажи + склад</x:v>
      </x:c>
      <x:c r="G76" s="113" t="str">
        <x:v>ТРЕБУЕТ ВЕРИФИКАЦИИ</x:v>
      </x:c>
    </x:row>
    <x:row r="77" ht="38" customHeight="1">
      <x:c r="A77" s="111" t="str">
        <x:v>INV-005</x:v>
      </x:c>
      <x:c r="B77" s="112" t="str">
        <x:v>Остатки, склад и движение</x:v>
      </x:c>
      <x:c r="C77" s="112" t="str">
        <x:v>P5-P6</x:v>
      </x:c>
      <x:c r="D77" s="112" t="str">
        <x:v>TASK-033</x:v>
      </x:c>
      <x:c r="E77" s="112" t="str">
        <x:v>UAT / документ / контрольная сверка</x:v>
      </x:c>
      <x:c r="F77" s="112" t="str">
        <x:v>Логистика</x:v>
      </x:c>
      <x:c r="G77" s="113" t="str">
        <x:v>BASELINE</x:v>
      </x:c>
    </x:row>
    <x:row r="78" ht="38" customHeight="1">
      <x:c r="A78" s="111" t="str">
        <x:v>INV-006</x:v>
      </x:c>
      <x:c r="B78" s="112" t="str">
        <x:v>Остатки, склад и движение</x:v>
      </x:c>
      <x:c r="C78" s="112" t="str">
        <x:v>P2-P5</x:v>
      </x:c>
      <x:c r="D78" s="112" t="str">
        <x:v>G2</x:v>
      </x:c>
      <x:c r="E78" s="112" t="str">
        <x:v>Протокол утверждения + контрольный расчёт</x:v>
      </x:c>
      <x:c r="F78" s="112" t="str">
        <x:v>Финансовый директор</x:v>
      </x:c>
      <x:c r="G78" s="113" t="str">
        <x:v>ОТКРЫТОЕ РЕШЕНИЕ</x:v>
      </x:c>
    </x:row>
    <x:row r="79" ht="38" customHeight="1">
      <x:c r="A79" s="111" t="str">
        <x:v>INV-008</x:v>
      </x:c>
      <x:c r="B79" s="112" t="str">
        <x:v>Остатки, склад и движение</x:v>
      </x:c>
      <x:c r="C79" s="112" t="str">
        <x:v>P5-P6</x:v>
      </x:c>
      <x:c r="D79" s="112" t="str">
        <x:v>Future wave</x:v>
      </x:c>
      <x:c r="E79" s="112" t="str">
        <x:v>UAT / документ / контрольная сверка</x:v>
      </x:c>
      <x:c r="F79" s="112" t="str">
        <x:v>Склад + финансы</x:v>
      </x:c>
      <x:c r="G79" s="113" t="str">
        <x:v>ТРЕБУЕТ ВЕРИФИКАЦИИ</x:v>
      </x:c>
    </x:row>
    <x:row r="80" ht="38" customHeight="1">
      <x:c r="A80" s="111" t="str">
        <x:v>INV-009</x:v>
      </x:c>
      <x:c r="B80" s="112" t="str">
        <x:v>Остатки, склад и движение</x:v>
      </x:c>
      <x:c r="C80" s="112" t="str">
        <x:v>P6</x:v>
      </x:c>
      <x:c r="D80" s="112" t="str">
        <x:v>BI-wave</x:v>
      </x:c>
      <x:c r="E80" s="112" t="str">
        <x:v>UAT / документ / контрольная сверка</x:v>
      </x:c>
      <x:c r="F80" s="112" t="str">
        <x:v>Категорийный менеджмент</x:v>
      </x:c>
      <x:c r="G80" s="113" t="str">
        <x:v>BASELINE</x:v>
      </x:c>
    </x:row>
    <x:row r="81" ht="38" customHeight="1">
      <x:c r="A81" s="111" t="str">
        <x:v>INV-010</x:v>
      </x:c>
      <x:c r="B81" s="112" t="str">
        <x:v>Остатки, склад и движение</x:v>
      </x:c>
      <x:c r="C81" s="112" t="str">
        <x:v>P2-P6</x:v>
      </x:c>
      <x:c r="D81" s="112" t="str">
        <x:v>G2/G6</x:v>
      </x:c>
      <x:c r="E81" s="112" t="str">
        <x:v>UAT / документ / контрольная сверка</x:v>
      </x:c>
      <x:c r="F81" s="112" t="str">
        <x:v>КМ + финансы</x:v>
      </x:c>
      <x:c r="G81" s="113" t="str">
        <x:v>ОТКРЫТОЕ РЕШЕНИЕ</x:v>
      </x:c>
    </x:row>
    <x:row r="82" ht="38" customHeight="1">
      <x:c r="A82" s="111" t="str">
        <x:v>RCV-001</x:v>
      </x:c>
      <x:c r="B82" s="112" t="str">
        <x:v>Приёмка поставок</x:v>
      </x:c>
      <x:c r="C82" s="112" t="str">
        <x:v>P5</x:v>
      </x:c>
      <x:c r="D82" s="112" t="str">
        <x:v>TASK-027</x:v>
      </x:c>
      <x:c r="E82" s="112" t="str">
        <x:v>UAT / документ / контрольная сверка</x:v>
      </x:c>
      <x:c r="F82" s="112" t="str">
        <x:v>Технический лидер</x:v>
      </x:c>
      <x:c r="G82" s="113" t="str">
        <x:v>BASELINE</x:v>
      </x:c>
    </x:row>
    <x:row r="83" ht="38" customHeight="1">
      <x:c r="A83" s="111" t="str">
        <x:v>RCV-002</x:v>
      </x:c>
      <x:c r="B83" s="112" t="str">
        <x:v>Приёмка поставок</x:v>
      </x:c>
      <x:c r="C83" s="112" t="str">
        <x:v>P5</x:v>
      </x:c>
      <x:c r="D83" s="112" t="str">
        <x:v>TASK-028</x:v>
      </x:c>
      <x:c r="E83" s="112" t="str">
        <x:v>UAT / документ / контрольная сверка</x:v>
      </x:c>
      <x:c r="F83" s="112" t="str">
        <x:v>Технический лидер</x:v>
      </x:c>
      <x:c r="G83" s="113" t="str">
        <x:v>BASELINE</x:v>
      </x:c>
    </x:row>
    <x:row r="84" ht="38" customHeight="1">
      <x:c r="A84" s="111" t="str">
        <x:v>RCV-003</x:v>
      </x:c>
      <x:c r="B84" s="112" t="str">
        <x:v>Приёмка поставок</x:v>
      </x:c>
      <x:c r="C84" s="112" t="str">
        <x:v>P5</x:v>
      </x:c>
      <x:c r="D84" s="112" t="str">
        <x:v>TASK-030</x:v>
      </x:c>
      <x:c r="E84" s="112" t="str">
        <x:v>UAT / документ / контрольная сверка</x:v>
      </x:c>
      <x:c r="F84" s="112" t="str">
        <x:v>Закупки / склад</x:v>
      </x:c>
      <x:c r="G84" s="113" t="str">
        <x:v>BASELINE</x:v>
      </x:c>
    </x:row>
    <x:row r="85" ht="38" customHeight="1">
      <x:c r="A85" s="111" t="str">
        <x:v>RCV-004</x:v>
      </x:c>
      <x:c r="B85" s="112" t="str">
        <x:v>Приёмка поставок</x:v>
      </x:c>
      <x:c r="C85" s="112" t="str">
        <x:v>P5</x:v>
      </x:c>
      <x:c r="D85" s="112" t="str">
        <x:v>TASK-031</x:v>
      </x:c>
      <x:c r="E85" s="112" t="str">
        <x:v>UAT / документ / контрольная сверка</x:v>
      </x:c>
      <x:c r="F85" s="112" t="str">
        <x:v>Магазин/склад</x:v>
      </x:c>
      <x:c r="G85" s="113" t="str">
        <x:v>BASELINE</x:v>
      </x:c>
    </x:row>
    <x:row r="86" ht="38" customHeight="1">
      <x:c r="A86" s="111" t="str">
        <x:v>RCV-005</x:v>
      </x:c>
      <x:c r="B86" s="112" t="str">
        <x:v>Приёмка поставок</x:v>
      </x:c>
      <x:c r="C86" s="112" t="str">
        <x:v>P5</x:v>
      </x:c>
      <x:c r="D86" s="112" t="str">
        <x:v>TASK-031</x:v>
      </x:c>
      <x:c r="E86" s="112" t="str">
        <x:v>UAT / документ / контрольная сверка</x:v>
      </x:c>
      <x:c r="F86" s="112" t="str">
        <x:v>Магазин</x:v>
      </x:c>
      <x:c r="G86" s="113" t="str">
        <x:v>BASELINE</x:v>
      </x:c>
    </x:row>
    <x:row r="87" ht="38" customHeight="1">
      <x:c r="A87" s="111" t="str">
        <x:v>RCV-006</x:v>
      </x:c>
      <x:c r="B87" s="112" t="str">
        <x:v>Приёмка поставок</x:v>
      </x:c>
      <x:c r="C87" s="112" t="str">
        <x:v>P5</x:v>
      </x:c>
      <x:c r="D87" s="112" t="str">
        <x:v>TASK-031,TASK-032</x:v>
      </x:c>
      <x:c r="E87" s="112" t="str">
        <x:v>UAT / документ / контрольная сверка</x:v>
      </x:c>
      <x:c r="F87" s="112" t="str">
        <x:v>Категорийный менеджер</x:v>
      </x:c>
      <x:c r="G87" s="113" t="str">
        <x:v>BASELINE</x:v>
      </x:c>
    </x:row>
    <x:row r="88" ht="38" customHeight="1">
      <x:c r="A88" s="111" t="str">
        <x:v>RCV-007</x:v>
      </x:c>
      <x:c r="B88" s="112" t="str">
        <x:v>Приёмка поставок</x:v>
      </x:c>
      <x:c r="C88" s="112" t="str">
        <x:v>P5</x:v>
      </x:c>
      <x:c r="D88" s="112" t="str">
        <x:v>TASK-032</x:v>
      </x:c>
      <x:c r="E88" s="112" t="str">
        <x:v>UAT / документ / контрольная сверка</x:v>
      </x:c>
      <x:c r="F88" s="112" t="str">
        <x:v>Владелец 1С</x:v>
      </x:c>
      <x:c r="G88" s="113" t="str">
        <x:v>BASELINE</x:v>
      </x:c>
    </x:row>
    <x:row r="89" ht="38" customHeight="1">
      <x:c r="A89" s="111" t="str">
        <x:v>RCV-008</x:v>
      </x:c>
      <x:c r="B89" s="112" t="str">
        <x:v>Приёмка поставок</x:v>
      </x:c>
      <x:c r="C89" s="112" t="str">
        <x:v>P2-P5</x:v>
      </x:c>
      <x:c r="D89" s="112" t="str">
        <x:v>TASK-032</x:v>
      </x:c>
      <x:c r="E89" s="112" t="str">
        <x:v>UAT / документ / контрольная сверка</x:v>
      </x:c>
      <x:c r="F89" s="112" t="str">
        <x:v>Склад + закупки + финансы</x:v>
      </x:c>
      <x:c r="G89" s="113" t="str">
        <x:v>ОТКРЫТОЕ РЕШЕНИЕ</x:v>
      </x:c>
    </x:row>
    <x:row r="90" ht="38" customHeight="1">
      <x:c r="A90" s="111" t="str">
        <x:v>RCV-009</x:v>
      </x:c>
      <x:c r="B90" s="112" t="str">
        <x:v>Приёмка поставок</x:v>
      </x:c>
      <x:c r="C90" s="112" t="str">
        <x:v>P5</x:v>
      </x:c>
      <x:c r="D90" s="112" t="str">
        <x:v>TASK-033</x:v>
      </x:c>
      <x:c r="E90" s="112" t="str">
        <x:v>UAT / документ / контрольная сверка</x:v>
      </x:c>
      <x:c r="F90" s="112" t="str">
        <x:v>Товаровед / склад</x:v>
      </x:c>
      <x:c r="G90" s="113" t="str">
        <x:v>BASELINE</x:v>
      </x:c>
    </x:row>
    <x:row r="91" ht="38" customHeight="1">
      <x:c r="A91" s="111" t="str">
        <x:v>RCV-010</x:v>
      </x:c>
      <x:c r="B91" s="112" t="str">
        <x:v>Приёмка поставок</x:v>
      </x:c>
      <x:c r="C91" s="112" t="str">
        <x:v>P5</x:v>
      </x:c>
      <x:c r="D91" s="112" t="str">
        <x:v>TASK-033</x:v>
      </x:c>
      <x:c r="E91" s="112" t="str">
        <x:v>UAT / документ / контрольная сверка</x:v>
      </x:c>
      <x:c r="F91" s="112" t="str">
        <x:v>Владелец 1С</x:v>
      </x:c>
      <x:c r="G91" s="113" t="str">
        <x:v>ОТКРЫТОЕ РЕШЕНИЕ</x:v>
      </x:c>
    </x:row>
    <x:row r="92" ht="38" customHeight="1">
      <x:c r="A92" s="111" t="str">
        <x:v>RCV-011</x:v>
      </x:c>
      <x:c r="B92" s="112" t="str">
        <x:v>Приёмка поставок</x:v>
      </x:c>
      <x:c r="C92" s="112" t="str">
        <x:v>P2-P5</x:v>
      </x:c>
      <x:c r="D92" s="112" t="str">
        <x:v>TASK-031,TASK-033</x:v>
      </x:c>
      <x:c r="E92" s="112" t="str">
        <x:v>UAT / документ / контрольная сверка</x:v>
      </x:c>
      <x:c r="F92" s="112" t="str">
        <x:v>КМ + склад</x:v>
      </x:c>
      <x:c r="G92" s="113" t="str">
        <x:v>ОТКРЫТОЕ РЕШЕНИЕ</x:v>
      </x:c>
    </x:row>
    <x:row r="93" ht="38" customHeight="1">
      <x:c r="A93" s="111" t="str">
        <x:v>RCV-012</x:v>
      </x:c>
      <x:c r="B93" s="112" t="str">
        <x:v>Приёмка поставок</x:v>
      </x:c>
      <x:c r="C93" s="112" t="str">
        <x:v>P5-P7</x:v>
      </x:c>
      <x:c r="D93" s="112" t="str">
        <x:v>TASK-034</x:v>
      </x:c>
      <x:c r="E93" s="112" t="str">
        <x:v>UAT / документ / контрольная сверка</x:v>
      </x:c>
      <x:c r="F93" s="112" t="str">
        <x:v>Технический лидер</x:v>
      </x:c>
      <x:c r="G93" s="113" t="str">
        <x:v>BASELINE</x:v>
      </x:c>
    </x:row>
    <x:row r="94" ht="38" customHeight="1">
      <x:c r="A94" s="111" t="str">
        <x:v>RCV-013</x:v>
      </x:c>
      <x:c r="B94" s="112" t="str">
        <x:v>Приёмка поставок</x:v>
      </x:c>
      <x:c r="C94" s="112" t="str">
        <x:v>P5</x:v>
      </x:c>
      <x:c r="D94" s="112" t="str">
        <x:v>TASK-035</x:v>
      </x:c>
      <x:c r="E94" s="112" t="str">
        <x:v>UAT / документ / контрольная сверка</x:v>
      </x:c>
      <x:c r="F94" s="112" t="str">
        <x:v>Склад + QA</x:v>
      </x:c>
      <x:c r="G94" s="113" t="str">
        <x:v>BASELINE</x:v>
      </x:c>
    </x:row>
    <x:row r="95" ht="38" customHeight="1">
      <x:c r="A95" s="111" t="str">
        <x:v>FIN-001</x:v>
      </x:c>
      <x:c r="B95" s="112" t="str">
        <x:v>Финансы и управленческий учёт</x:v>
      </x:c>
      <x:c r="C95" s="112" t="str">
        <x:v>P1-P2</x:v>
      </x:c>
      <x:c r="D95" s="112" t="str">
        <x:v>G1/G2</x:v>
      </x:c>
      <x:c r="E95" s="112" t="str">
        <x:v>UAT / документ / контрольная сверка</x:v>
      </x:c>
      <x:c r="F95" s="112" t="str">
        <x:v>Финансовый директор</x:v>
      </x:c>
      <x:c r="G95" s="113" t="str">
        <x:v>BASELINE</x:v>
      </x:c>
    </x:row>
    <x:row r="96" ht="38" customHeight="1">
      <x:c r="A96" s="111" t="str">
        <x:v>FIN-002</x:v>
      </x:c>
      <x:c r="B96" s="112" t="str">
        <x:v>Финансы и управленческий учёт</x:v>
      </x:c>
      <x:c r="C96" s="112" t="str">
        <x:v>P2-P6</x:v>
      </x:c>
      <x:c r="D96" s="112" t="str">
        <x:v>G2/G6</x:v>
      </x:c>
      <x:c r="E96" s="112" t="str">
        <x:v>Протокол утверждения + контрольный расчёт</x:v>
      </x:c>
      <x:c r="F96" s="112" t="str">
        <x:v>Финансовый директор</x:v>
      </x:c>
      <x:c r="G96" s="113" t="str">
        <x:v>BASELINE</x:v>
      </x:c>
    </x:row>
    <x:row r="97" ht="38" customHeight="1">
      <x:c r="A97" s="111" t="str">
        <x:v>FIN-003</x:v>
      </x:c>
      <x:c r="B97" s="112" t="str">
        <x:v>Финансы и управленческий учёт</x:v>
      </x:c>
      <x:c r="C97" s="112" t="str">
        <x:v>P1</x:v>
      </x:c>
      <x:c r="D97" s="112" t="str">
        <x:v>G1</x:v>
      </x:c>
      <x:c r="E97" s="112" t="str">
        <x:v>UAT / документ / контрольная сверка</x:v>
      </x:c>
      <x:c r="F97" s="112" t="str">
        <x:v>Финансовый директор</x:v>
      </x:c>
      <x:c r="G97" s="113" t="str">
        <x:v>BASELINE</x:v>
      </x:c>
    </x:row>
    <x:row r="98" ht="38" customHeight="1">
      <x:c r="A98" s="111" t="str">
        <x:v>FIN-004</x:v>
      </x:c>
      <x:c r="B98" s="112" t="str">
        <x:v>Финансы и управленческий учёт</x:v>
      </x:c>
      <x:c r="C98" s="112" t="str">
        <x:v>P1</x:v>
      </x:c>
      <x:c r="D98" s="112" t="str">
        <x:v>P1</x:v>
      </x:c>
      <x:c r="E98" s="112" t="str">
        <x:v>UAT / документ / контрольная сверка</x:v>
      </x:c>
      <x:c r="F98" s="112" t="str">
        <x:v>ИТ + финансы</x:v>
      </x:c>
      <x:c r="G98" s="113" t="str">
        <x:v>BASELINE</x:v>
      </x:c>
    </x:row>
    <x:row r="99" ht="38" customHeight="1">
      <x:c r="A99" s="111" t="str">
        <x:v>FIN-005</x:v>
      </x:c>
      <x:c r="B99" s="112" t="str">
        <x:v>Финансы и управленческий учёт</x:v>
      </x:c>
      <x:c r="C99" s="112" t="str">
        <x:v>P1</x:v>
      </x:c>
      <x:c r="D99" s="112" t="str">
        <x:v>P1</x:v>
      </x:c>
      <x:c r="E99" s="112" t="str">
        <x:v>UAT / документ / контрольная сверка</x:v>
      </x:c>
      <x:c r="F99" s="112" t="str">
        <x:v>Бухгалтерия + ИТ</x:v>
      </x:c>
      <x:c r="G99" s="113" t="str">
        <x:v>BASELINE</x:v>
      </x:c>
    </x:row>
    <x:row r="100" ht="38" customHeight="1">
      <x:c r="A100" s="111" t="str">
        <x:v>FIN-006</x:v>
      </x:c>
      <x:c r="B100" s="112" t="str">
        <x:v>Финансы и управленческий учёт</x:v>
      </x:c>
      <x:c r="C100" s="112" t="str">
        <x:v>P1-P2</x:v>
      </x:c>
      <x:c r="D100" s="112" t="str">
        <x:v>G1/G2</x:v>
      </x:c>
      <x:c r="E100" s="112" t="str">
        <x:v>Протокол утверждения + контрольный расчёт</x:v>
      </x:c>
      <x:c r="F100" s="112" t="str">
        <x:v>Финансы + закупки</x:v>
      </x:c>
      <x:c r="G100" s="113" t="str">
        <x:v>BASELINE</x:v>
      </x:c>
    </x:row>
    <x:row r="101" ht="38" customHeight="1">
      <x:c r="A101" s="111" t="str">
        <x:v>FIN-007</x:v>
      </x:c>
      <x:c r="B101" s="112" t="str">
        <x:v>Финансы и управленческий учёт</x:v>
      </x:c>
      <x:c r="C101" s="112" t="str">
        <x:v>P1</x:v>
      </x:c>
      <x:c r="D101" s="112" t="str">
        <x:v>P1</x:v>
      </x:c>
      <x:c r="E101" s="112" t="str">
        <x:v>UAT / документ / контрольная сверка</x:v>
      </x:c>
      <x:c r="F101" s="112" t="str">
        <x:v>Финансовый директор</x:v>
      </x:c>
      <x:c r="G101" s="113" t="str">
        <x:v>BASELINE</x:v>
      </x:c>
    </x:row>
    <x:row r="102" ht="38" customHeight="1">
      <x:c r="A102" s="111" t="str">
        <x:v>FIN-008</x:v>
      </x:c>
      <x:c r="B102" s="112" t="str">
        <x:v>Финансы и управленческий учёт</x:v>
      </x:c>
      <x:c r="C102" s="112" t="str">
        <x:v>P2</x:v>
      </x:c>
      <x:c r="D102" s="112" t="str">
        <x:v>G2</x:v>
      </x:c>
      <x:c r="E102" s="112" t="str">
        <x:v>Протокол утверждения + контрольный расчёт</x:v>
      </x:c>
      <x:c r="F102" s="112" t="str">
        <x:v>Финансовый директор</x:v>
      </x:c>
      <x:c r="G102" s="113" t="str">
        <x:v>BASELINE</x:v>
      </x:c>
    </x:row>
    <x:row r="103" ht="38" customHeight="1">
      <x:c r="A103" s="111" t="str">
        <x:v>FIN-009</x:v>
      </x:c>
      <x:c r="B103" s="112" t="str">
        <x:v>Финансы и управленческий учёт</x:v>
      </x:c>
      <x:c r="C103" s="112" t="str">
        <x:v>P2-P6</x:v>
      </x:c>
      <x:c r="D103" s="112" t="str">
        <x:v>G2/G6</x:v>
      </x:c>
      <x:c r="E103" s="112" t="str">
        <x:v>Протокол утверждения + контрольный расчёт</x:v>
      </x:c>
      <x:c r="F103" s="112" t="str">
        <x:v>Финансовый директор</x:v>
      </x:c>
      <x:c r="G103" s="113" t="str">
        <x:v>ОТКРЫТОЕ РЕШЕНИЕ</x:v>
      </x:c>
    </x:row>
    <x:row r="104" ht="38" customHeight="1">
      <x:c r="A104" s="111" t="str">
        <x:v>FIN-010</x:v>
      </x:c>
      <x:c r="B104" s="112" t="str">
        <x:v>Финансы и управленческий учёт</x:v>
      </x:c>
      <x:c r="C104" s="112" t="str">
        <x:v>P2-P6</x:v>
      </x:c>
      <x:c r="D104" s="112" t="str">
        <x:v>G6</x:v>
      </x:c>
      <x:c r="E104" s="112" t="str">
        <x:v>UAT / документ / контрольная сверка</x:v>
      </x:c>
      <x:c r="F104" s="112" t="str">
        <x:v>Финансовый директор</x:v>
      </x:c>
      <x:c r="G104" s="113" t="str">
        <x:v>ОТКРЫТОЕ РЕШЕНИЕ</x:v>
      </x:c>
    </x:row>
    <x:row r="105" ht="38" customHeight="1">
      <x:c r="A105" s="111" t="str">
        <x:v>FIN-011</x:v>
      </x:c>
      <x:c r="B105" s="112" t="str">
        <x:v>Финансы и управленческий учёт</x:v>
      </x:c>
      <x:c r="C105" s="112" t="str">
        <x:v>P2-P6</x:v>
      </x:c>
      <x:c r="D105" s="112" t="str">
        <x:v>G6</x:v>
      </x:c>
      <x:c r="E105" s="112" t="str">
        <x:v>UAT / документ / контрольная сверка</x:v>
      </x:c>
      <x:c r="F105" s="112" t="str">
        <x:v>Финансовый директор</x:v>
      </x:c>
      <x:c r="G105" s="113" t="str">
        <x:v>BASELINE</x:v>
      </x:c>
    </x:row>
    <x:row r="106" ht="38" customHeight="1">
      <x:c r="A106" s="111" t="str">
        <x:v>FIN-012</x:v>
      </x:c>
      <x:c r="B106" s="112" t="str">
        <x:v>Финансы и управленческий учёт</x:v>
      </x:c>
      <x:c r="C106" s="112" t="str">
        <x:v>P6</x:v>
      </x:c>
      <x:c r="D106" s="112" t="str">
        <x:v>G6</x:v>
      </x:c>
      <x:c r="E106" s="112" t="str">
        <x:v>UAT / документ / контрольная сверка</x:v>
      </x:c>
      <x:c r="F106" s="112" t="str">
        <x:v>Финансовый директор</x:v>
      </x:c>
      <x:c r="G106" s="113" t="str">
        <x:v>BASELINE</x:v>
      </x:c>
    </x:row>
    <x:row r="107" ht="38" customHeight="1">
      <x:c r="A107" s="111" t="str">
        <x:v>FIN-013</x:v>
      </x:c>
      <x:c r="B107" s="112" t="str">
        <x:v>Финансы и управленческий учёт</x:v>
      </x:c>
      <x:c r="C107" s="112" t="str">
        <x:v>P0-P2</x:v>
      </x:c>
      <x:c r="D107" s="112" t="str">
        <x:v>P0 action</x:v>
      </x:c>
      <x:c r="E107" s="112" t="str">
        <x:v>UAT / документ / контрольная сверка</x:v>
      </x:c>
      <x:c r="F107" s="112" t="str">
        <x:v>Координатор</x:v>
      </x:c>
      <x:c r="G107" s="113" t="str">
        <x:v>ОТКРЫТО</x:v>
      </x:c>
    </x:row>
    <x:row r="108" ht="38" customHeight="1">
      <x:c r="A108" s="111" t="str">
        <x:v>FIN-014</x:v>
      </x:c>
      <x:c r="B108" s="112" t="str">
        <x:v>Финансы и управленческий учёт</x:v>
      </x:c>
      <x:c r="C108" s="112" t="str">
        <x:v>P2-P6</x:v>
      </x:c>
      <x:c r="D108" s="112" t="str">
        <x:v>G6</x:v>
      </x:c>
      <x:c r="E108" s="112" t="str">
        <x:v>UAT / документ / контрольная сверка</x:v>
      </x:c>
      <x:c r="F108" s="112" t="str">
        <x:v>Финансовый директор</x:v>
      </x:c>
      <x:c r="G108" s="113" t="str">
        <x:v>BASELINE</x:v>
      </x:c>
    </x:row>
    <x:row r="109" ht="38" customHeight="1">
      <x:c r="A109" s="111" t="str">
        <x:v>FIN-015</x:v>
      </x:c>
      <x:c r="B109" s="112" t="str">
        <x:v>Финансы и управленческий учёт</x:v>
      </x:c>
      <x:c r="C109" s="112" t="str">
        <x:v>P0-P2</x:v>
      </x:c>
      <x:c r="D109" s="112" t="str">
        <x:v>P0 action</x:v>
      </x:c>
      <x:c r="E109" s="112" t="str">
        <x:v>UAT / документ / контрольная сверка</x:v>
      </x:c>
      <x:c r="F109" s="112" t="str">
        <x:v>Финансовый директор</x:v>
      </x:c>
      <x:c r="G109" s="113" t="str">
        <x:v>BASELINE</x:v>
      </x:c>
    </x:row>
    <x:row r="110" ht="38" customHeight="1">
      <x:c r="A110" s="111" t="str">
        <x:v>FIN-016</x:v>
      </x:c>
      <x:c r="B110" s="112" t="str">
        <x:v>Финансы и управленческий учёт</x:v>
      </x:c>
      <x:c r="C110" s="112" t="str">
        <x:v>P1-P2</x:v>
      </x:c>
      <x:c r="D110" s="112" t="str">
        <x:v>G1/G2</x:v>
      </x:c>
      <x:c r="E110" s="112" t="str">
        <x:v>UAT / документ / контрольная сверка</x:v>
      </x:c>
      <x:c r="F110" s="112" t="str">
        <x:v>Коммерция + склад + финансы</x:v>
      </x:c>
      <x:c r="G110" s="113" t="str">
        <x:v>BASELINE</x:v>
      </x:c>
    </x:row>
    <x:row r="111" ht="38" customHeight="1">
      <x:c r="A111" s="111" t="str">
        <x:v>FIN-017</x:v>
      </x:c>
      <x:c r="B111" s="112" t="str">
        <x:v>Финансы и управленческий учёт</x:v>
      </x:c>
      <x:c r="C111" s="112" t="str">
        <x:v>P2-P6</x:v>
      </x:c>
      <x:c r="D111" s="112" t="str">
        <x:v>G6</x:v>
      </x:c>
      <x:c r="E111" s="112" t="str">
        <x:v>UAT / документ / контрольная сверка</x:v>
      </x:c>
      <x:c r="F111" s="112" t="str">
        <x:v>Главный бухгалтер</x:v>
      </x:c>
      <x:c r="G111" s="113" t="str">
        <x:v>BASELINE</x:v>
      </x:c>
    </x:row>
    <x:row r="112" ht="38" customHeight="1">
      <x:c r="A112" s="111" t="str">
        <x:v>FIN-018</x:v>
      </x:c>
      <x:c r="B112" s="112" t="str">
        <x:v>Финансы и управленческий учёт</x:v>
      </x:c>
      <x:c r="C112" s="112" t="str">
        <x:v>P2-P7</x:v>
      </x:c>
      <x:c r="D112" s="112" t="str">
        <x:v>G2/G7</x:v>
      </x:c>
      <x:c r="E112" s="112" t="str">
        <x:v>UAT / документ / контрольная сверка</x:v>
      </x:c>
      <x:c r="F112" s="112" t="str">
        <x:v>ИТ + финансы + розница</x:v>
      </x:c>
      <x:c r="G112" s="113" t="str">
        <x:v>BASELINE</x:v>
      </x:c>
    </x:row>
    <x:row r="113" ht="38" customHeight="1">
      <x:c r="A113" s="111" t="str">
        <x:v>SAL-001</x:v>
      </x:c>
      <x:c r="B113" s="112" t="str">
        <x:v>Продажи и коммерческая аналитика</x:v>
      </x:c>
      <x:c r="C113" s="112" t="str">
        <x:v>P6</x:v>
      </x:c>
      <x:c r="D113" s="112" t="str">
        <x:v>G6</x:v>
      </x:c>
      <x:c r="E113" s="112" t="str">
        <x:v>UAT / документ / контрольная сверка</x:v>
      </x:c>
      <x:c r="F113" s="112" t="str">
        <x:v>Коммерческий директор</x:v>
      </x:c>
      <x:c r="G113" s="113" t="str">
        <x:v>BASELINE</x:v>
      </x:c>
    </x:row>
    <x:row r="114" ht="38" customHeight="1">
      <x:c r="A114" s="111" t="str">
        <x:v>SAL-004</x:v>
      </x:c>
      <x:c r="B114" s="112" t="str">
        <x:v>Продажи и коммерческая аналитика</x:v>
      </x:c>
      <x:c r="C114" s="112" t="str">
        <x:v>P6</x:v>
      </x:c>
      <x:c r="D114" s="112" t="str">
        <x:v>G6</x:v>
      </x:c>
      <x:c r="E114" s="112" t="str">
        <x:v>UAT / документ / контрольная сверка</x:v>
      </x:c>
      <x:c r="F114" s="112" t="str">
        <x:v>Склад + продажи</x:v>
      </x:c>
      <x:c r="G114" s="113" t="str">
        <x:v>BASELINE</x:v>
      </x:c>
    </x:row>
    <x:row r="115" ht="38" customHeight="1">
      <x:c r="A115" s="111" t="str">
        <x:v>SAL-005</x:v>
      </x:c>
      <x:c r="B115" s="112" t="str">
        <x:v>Продажи и коммерческая аналитика</x:v>
      </x:c>
      <x:c r="C115" s="112" t="str">
        <x:v>P6</x:v>
      </x:c>
      <x:c r="D115" s="112" t="str">
        <x:v>G6</x:v>
      </x:c>
      <x:c r="E115" s="112" t="str">
        <x:v>UAT / документ / контрольная сверка</x:v>
      </x:c>
      <x:c r="F115" s="112" t="str">
        <x:v>Продажи</x:v>
      </x:c>
      <x:c r="G115" s="113" t="str">
        <x:v>BASELINE</x:v>
      </x:c>
    </x:row>
    <x:row r="116" ht="38" customHeight="1">
      <x:c r="A116" s="111" t="str">
        <x:v>SAL-006</x:v>
      </x:c>
      <x:c r="B116" s="112" t="str">
        <x:v>Продажи и коммерческая аналитика</x:v>
      </x:c>
      <x:c r="C116" s="112" t="str">
        <x:v>P6</x:v>
      </x:c>
      <x:c r="D116" s="112" t="str">
        <x:v>G6</x:v>
      </x:c>
      <x:c r="E116" s="112" t="str">
        <x:v>UAT / документ / контрольная сверка</x:v>
      </x:c>
      <x:c r="F116" s="112" t="str">
        <x:v>КМ + продажи</x:v>
      </x:c>
      <x:c r="G116" s="113" t="str">
        <x:v>BASELINE</x:v>
      </x:c>
    </x:row>
    <x:row r="117" ht="38" customHeight="1">
      <x:c r="A117" s="111" t="str">
        <x:v>SAL-007</x:v>
      </x:c>
      <x:c r="B117" s="112" t="str">
        <x:v>Продажи и коммерческая аналитика</x:v>
      </x:c>
      <x:c r="C117" s="112" t="str">
        <x:v>P6</x:v>
      </x:c>
      <x:c r="D117" s="112" t="str">
        <x:v>G6</x:v>
      </x:c>
      <x:c r="E117" s="112" t="str">
        <x:v>UAT / документ / контрольная сверка</x:v>
      </x:c>
      <x:c r="F117" s="112" t="str">
        <x:v>Продажи + финансы</x:v>
      </x:c>
      <x:c r="G117" s="113" t="str">
        <x:v>BASELINE</x:v>
      </x:c>
    </x:row>
    <x:row r="118" ht="38" customHeight="1">
      <x:c r="A118" s="111" t="str">
        <x:v>SAL-008</x:v>
      </x:c>
      <x:c r="B118" s="112" t="str">
        <x:v>Продажи и коммерческая аналитика</x:v>
      </x:c>
      <x:c r="C118" s="112" t="str">
        <x:v>P1-P6</x:v>
      </x:c>
      <x:c r="D118" s="112" t="str">
        <x:v>G1/G6</x:v>
      </x:c>
      <x:c r="E118" s="112" t="str">
        <x:v>UAT / документ / контрольная сверка</x:v>
      </x:c>
      <x:c r="F118" s="112" t="str">
        <x:v>Финансы + розница</x:v>
      </x:c>
      <x:c r="G118" s="113" t="str">
        <x:v>BASELINE</x:v>
      </x:c>
    </x:row>
    <x:row r="119" ht="38" customHeight="1">
      <x:c r="A119" s="111" t="str">
        <x:v>SAL-011</x:v>
      </x:c>
      <x:c r="B119" s="112" t="str">
        <x:v>Продажи и коммерческая аналитика</x:v>
      </x:c>
      <x:c r="C119" s="112" t="str">
        <x:v>P2-P6</x:v>
      </x:c>
      <x:c r="D119" s="112" t="str">
        <x:v>Future BI</x:v>
      </x:c>
      <x:c r="E119" s="112" t="str">
        <x:v>UAT / документ / контрольная сверка</x:v>
      </x:c>
      <x:c r="F119" s="112" t="str">
        <x:v>Категорийный менеджмент</x:v>
      </x:c>
      <x:c r="G119" s="113" t="str">
        <x:v>ТРЕБУЕТ ВЕРИФИКАЦИИ</x:v>
      </x:c>
    </x:row>
    <x:row r="120" ht="38" customHeight="1">
      <x:c r="A120" s="111" t="str">
        <x:v>BI-001</x:v>
      </x:c>
      <x:c r="B120" s="112" t="str">
        <x:v>BI и контроль качества</x:v>
      </x:c>
      <x:c r="C120" s="112" t="str">
        <x:v>P6</x:v>
      </x:c>
      <x:c r="D120" s="112" t="str">
        <x:v>ADR-001</x:v>
      </x:c>
      <x:c r="E120" s="112" t="str">
        <x:v>UAT / документ / контрольная сверка</x:v>
      </x:c>
      <x:c r="F120" s="112" t="str">
        <x:v>Архитектурный комитет</x:v>
      </x:c>
      <x:c r="G120" s="113" t="str">
        <x:v>BASELINE</x:v>
      </x:c>
    </x:row>
    <x:row r="121" ht="38" customHeight="1">
      <x:c r="A121" s="111" t="str">
        <x:v>BI-002</x:v>
      </x:c>
      <x:c r="B121" s="112" t="str">
        <x:v>BI и контроль качества</x:v>
      </x:c>
      <x:c r="C121" s="112" t="str">
        <x:v>P2-P6</x:v>
      </x:c>
      <x:c r="D121" s="112" t="str">
        <x:v>G2/G6</x:v>
      </x:c>
      <x:c r="E121" s="112" t="str">
        <x:v>Протокол утверждения + контрольный расчёт</x:v>
      </x:c>
      <x:c r="F121" s="112" t="str">
        <x:v>Владельцы показателей</x:v>
      </x:c>
      <x:c r="G121" s="113" t="str">
        <x:v>BASELINE</x:v>
      </x:c>
    </x:row>
    <x:row r="122" ht="38" customHeight="1">
      <x:c r="A122" s="111" t="str">
        <x:v>BI-003</x:v>
      </x:c>
      <x:c r="B122" s="112" t="str">
        <x:v>BI и контроль качества</x:v>
      </x:c>
      <x:c r="C122" s="112" t="str">
        <x:v>P6</x:v>
      </x:c>
      <x:c r="D122" s="112" t="str">
        <x:v>TASK-024</x:v>
      </x:c>
      <x:c r="E122" s="112" t="str">
        <x:v>UAT / документ / контрольная сверка</x:v>
      </x:c>
      <x:c r="F122" s="112" t="str">
        <x:v>Финансы / продажи</x:v>
      </x:c>
      <x:c r="G122" s="113" t="str">
        <x:v>BASELINE</x:v>
      </x:c>
    </x:row>
    <x:row r="123" ht="38" customHeight="1">
      <x:c r="A123" s="111" t="str">
        <x:v>BI-004</x:v>
      </x:c>
      <x:c r="B123" s="112" t="str">
        <x:v>BI и контроль качества</x:v>
      </x:c>
      <x:c r="C123" s="112" t="str">
        <x:v>P6</x:v>
      </x:c>
      <x:c r="D123" s="112" t="str">
        <x:v>TASK-024</x:v>
      </x:c>
      <x:c r="E123" s="112" t="str">
        <x:v>UAT / документ / контрольная сверка</x:v>
      </x:c>
      <x:c r="F123" s="112" t="str">
        <x:v>ИТ</x:v>
      </x:c>
      <x:c r="G123" s="113" t="str">
        <x:v>BASELINE</x:v>
      </x:c>
    </x:row>
    <x:row r="124" ht="38" customHeight="1">
      <x:c r="A124" s="111" t="str">
        <x:v>BI-005</x:v>
      </x:c>
      <x:c r="B124" s="112" t="str">
        <x:v>BI и контроль качества</x:v>
      </x:c>
      <x:c r="C124" s="112" t="str">
        <x:v>P3-P6</x:v>
      </x:c>
      <x:c r="D124" s="112" t="str">
        <x:v>TASK-014,TASK-024</x:v>
      </x:c>
      <x:c r="E124" s="112" t="str">
        <x:v>UAT / документ / контрольная сверка</x:v>
      </x:c>
      <x:c r="F124" s="112" t="str">
        <x:v>Data owner</x:v>
      </x:c>
      <x:c r="G124" s="113" t="str">
        <x:v>BASELINE</x:v>
      </x:c>
    </x:row>
    <x:row r="125" ht="38" customHeight="1">
      <x:c r="A125" s="111" t="str">
        <x:v>BI-006</x:v>
      </x:c>
      <x:c r="B125" s="112" t="str">
        <x:v>BI и контроль качества</x:v>
      </x:c>
      <x:c r="C125" s="112" t="str">
        <x:v>P2-P6</x:v>
      </x:c>
      <x:c r="D125" s="112" t="str">
        <x:v>G2/G6</x:v>
      </x:c>
      <x:c r="E125" s="112" t="str">
        <x:v>UAT / документ / контрольная сверка</x:v>
      </x:c>
      <x:c r="F125" s="112" t="str">
        <x:v>Финансовый директор / собственник</x:v>
      </x:c>
      <x:c r="G125" s="113" t="str">
        <x:v>ОТКРЫТО</x:v>
      </x:c>
    </x:row>
    <x:row r="126" ht="38" customHeight="1">
      <x:c r="A126" s="111" t="str">
        <x:v>BI-007</x:v>
      </x:c>
      <x:c r="B126" s="112" t="str">
        <x:v>BI и контроль качества</x:v>
      </x:c>
      <x:c r="C126" s="112" t="str">
        <x:v>P6-P7</x:v>
      </x:c>
      <x:c r="D126" s="112" t="str">
        <x:v>TASK-024</x:v>
      </x:c>
      <x:c r="E126" s="112" t="str">
        <x:v>UAT / документ / контрольная сверка</x:v>
      </x:c>
      <x:c r="F126" s="112" t="str">
        <x:v>Data owner</x:v>
      </x:c>
      <x:c r="G126" s="113" t="str">
        <x:v>BASELINE</x:v>
      </x:c>
    </x:row>
    <x:row r="127" ht="38" customHeight="1">
      <x:c r="A127" s="111" t="str">
        <x:v>NFR-001</x:v>
      </x:c>
      <x:c r="B127" s="112" t="str">
        <x:v>Нефункциональные требования</x:v>
      </x:c>
      <x:c r="C127" s="112" t="str">
        <x:v>P3</x:v>
      </x:c>
      <x:c r="D127" s="112" t="str">
        <x:v>TASK-007,TASK-009,TASK-024</x:v>
      </x:c>
      <x:c r="E127" s="112" t="str">
        <x:v>UAT / документ / контрольная сверка</x:v>
      </x:c>
      <x:c r="F127" s="112" t="str">
        <x:v>Security / техлид</x:v>
      </x:c>
      <x:c r="G127" s="113" t="str">
        <x:v>ЧАСТИЧНО РЕАЛИЗОВАНО</x:v>
      </x:c>
    </x:row>
    <x:row r="128" ht="38" customHeight="1">
      <x:c r="A128" s="111" t="str">
        <x:v>NFR-002</x:v>
      </x:c>
      <x:c r="B128" s="112" t="str">
        <x:v>Нефункциональные требования</x:v>
      </x:c>
      <x:c r="C128" s="112" t="str">
        <x:v>P3-P7</x:v>
      </x:c>
      <x:c r="D128" s="112" t="str">
        <x:v>WORK-002,TASK-024</x:v>
      </x:c>
      <x:c r="E128" s="112" t="str">
        <x:v>UAT / документ / контрольная сверка</x:v>
      </x:c>
      <x:c r="F128" s="112" t="str">
        <x:v>Технический лидер</x:v>
      </x:c>
      <x:c r="G128" s="113" t="str">
        <x:v>ЧАСТИЧНО РЕАЛИЗОВАНО</x:v>
      </x:c>
    </x:row>
    <x:row r="129" ht="38" customHeight="1">
      <x:c r="A129" s="111" t="str">
        <x:v>NFR-003</x:v>
      </x:c>
      <x:c r="B129" s="112" t="str">
        <x:v>Нефункциональные требования</x:v>
      </x:c>
      <x:c r="C129" s="112" t="str">
        <x:v>P3-P4</x:v>
      </x:c>
      <x:c r="D129" s="112" t="str">
        <x:v>TASK-006,TASK-015,TASK-024</x:v>
      </x:c>
      <x:c r="E129" s="112" t="str">
        <x:v>UAT / документ / контрольная сверка</x:v>
      </x:c>
      <x:c r="F129" s="112" t="str">
        <x:v>Технический лидер</x:v>
      </x:c>
      <x:c r="G129" s="113" t="str">
        <x:v>BASELINE</x:v>
      </x:c>
    </x:row>
    <x:row r="130" ht="38" customHeight="1">
      <x:c r="A130" s="111" t="str">
        <x:v>NFR-004</x:v>
      </x:c>
      <x:c r="B130" s="112" t="str">
        <x:v>Нефункциональные требования</x:v>
      </x:c>
      <x:c r="C130" s="112" t="str">
        <x:v>P3-P7</x:v>
      </x:c>
      <x:c r="D130" s="112" t="str">
        <x:v>TASK-024</x:v>
      </x:c>
      <x:c r="E130" s="112" t="str">
        <x:v>UAT / документ / контрольная сверка</x:v>
      </x:c>
      <x:c r="F130" s="112" t="str">
        <x:v>ИТ</x:v>
      </x:c>
      <x:c r="G130" s="113" t="str">
        <x:v>BASELINE</x:v>
      </x:c>
    </x:row>
    <x:row r="131" ht="38" customHeight="1">
      <x:c r="A131" s="111" t="str">
        <x:v>NFR-005</x:v>
      </x:c>
      <x:c r="B131" s="112" t="str">
        <x:v>Нефункциональные требования</x:v>
      </x:c>
      <x:c r="C131" s="112" t="str">
        <x:v>P3-P7</x:v>
      </x:c>
      <x:c r="D131" s="112" t="str">
        <x:v>WORK-001,WORK-003,TASK-024</x:v>
      </x:c>
      <x:c r="E131" s="112" t="str">
        <x:v>UAT / документ / контрольная сверка</x:v>
      </x:c>
      <x:c r="F131" s="112" t="str">
        <x:v>ИТ</x:v>
      </x:c>
      <x:c r="G131" s="113" t="str">
        <x:v>ЧАСТИЧНО РЕАЛИЗОВАНО</x:v>
      </x:c>
    </x:row>
    <x:row r="132" ht="38" customHeight="1">
      <x:c r="A132" s="111" t="str">
        <x:v>NFR-006</x:v>
      </x:c>
      <x:c r="B132" s="112" t="str">
        <x:v>Нефункциональные требования</x:v>
      </x:c>
      <x:c r="C132" s="112" t="str">
        <x:v>P3-P7</x:v>
      </x:c>
      <x:c r="D132" s="112" t="str">
        <x:v>TASK-017,TASK-024</x:v>
      </x:c>
      <x:c r="E132" s="112" t="str">
        <x:v>UAT / документ / контрольная сверка</x:v>
      </x:c>
      <x:c r="F132" s="112" t="str">
        <x:v>Data owners</x:v>
      </x:c>
      <x:c r="G132" s="113" t="str">
        <x:v>BASELINE</x:v>
      </x:c>
    </x:row>
    <x:row r="133" ht="38" customHeight="1">
      <x:c r="A133" s="111" t="str">
        <x:v>NFR-007</x:v>
      </x:c>
      <x:c r="B133" s="112" t="str">
        <x:v>Нефункциональные требования</x:v>
      </x:c>
      <x:c r="C133" s="112" t="str">
        <x:v>P3-P4</x:v>
      </x:c>
      <x:c r="D133" s="112" t="str">
        <x:v>D-09,TASK-018</x:v>
      </x:c>
      <x:c r="E133" s="112" t="str">
        <x:v>UAT / документ / контрольная сверка</x:v>
      </x:c>
      <x:c r="F133" s="112" t="str">
        <x:v>Security / владелец 1С</x:v>
      </x:c>
      <x:c r="G133" s="113" t="str">
        <x:v>ОТКРЫТОЕ РЕШЕНИЕ</x:v>
      </x:c>
    </x:row>
    <x:row r="134" ht="38" customHeight="1">
      <x:c r="A134" s="111" t="str">
        <x:v>NFR-008</x:v>
      </x:c>
      <x:c r="B134" s="112" t="str">
        <x:v>Нефункциональные требования</x:v>
      </x:c>
      <x:c r="C134" s="112" t="str">
        <x:v>P3-P7</x:v>
      </x:c>
      <x:c r="D134" s="112" t="str">
        <x:v>TASK-024,TASK-025</x:v>
      </x:c>
      <x:c r="E134" s="112" t="str">
        <x:v>UAT / документ / контрольная сверка</x:v>
      </x:c>
      <x:c r="F134" s="112" t="str">
        <x:v>ИТ</x:v>
      </x:c>
      <x:c r="G134" s="113" t="str">
        <x:v>BASELINE</x:v>
      </x:c>
    </x:row>
    <x:row r="135" ht="38" customHeight="1">
      <x:c r="A135" s="111" t="str">
        <x:v>NFR-009</x:v>
      </x:c>
      <x:c r="B135" s="112" t="str">
        <x:v>Нефункциональные требования</x:v>
      </x:c>
      <x:c r="C135" s="112" t="str">
        <x:v>P0-P3</x:v>
      </x:c>
      <x:c r="D135" s="112" t="str">
        <x:v>TASK-024</x:v>
      </x:c>
      <x:c r="E135" s="112" t="str">
        <x:v>UAT / документ / контрольная сверка</x:v>
      </x:c>
      <x:c r="F135" s="112" t="str">
        <x:v>Юрист + data owners</x:v>
      </x:c>
      <x:c r="G135" s="113" t="str">
        <x:v>ОТКРЫТОЕ РЕШЕНИЕ</x:v>
      </x:c>
    </x:row>
    <x:row r="136" ht="38" customHeight="1">
      <x:c r="A136" s="111" t="str">
        <x:v>NFR-010</x:v>
      </x:c>
      <x:c r="B136" s="112" t="str">
        <x:v>Нефункциональные требования</x:v>
      </x:c>
      <x:c r="C136" s="112" t="str">
        <x:v>P0-P7</x:v>
      </x:c>
      <x:c r="D136" s="112" t="str">
        <x:v>D-01,TASK-025</x:v>
      </x:c>
      <x:c r="E136" s="112" t="str">
        <x:v>UAT / документ / контрольная сверка</x:v>
      </x:c>
      <x:c r="F136" s="112" t="str">
        <x:v>Владелец 1С</x:v>
      </x:c>
      <x:c r="G136" s="113" t="str">
        <x:v>ОТКРЫТОЕ РЕШЕНИЕ</x:v>
      </x:c>
    </x:row>
    <x:row r="137" ht="38" customHeight="1">
      <x:c r="A137" s="111" t="str">
        <x:v>NFR-011</x:v>
      </x:c>
      <x:c r="B137" s="112" t="str">
        <x:v>Нефункциональные требования</x:v>
      </x:c>
      <x:c r="C137" s="112" t="str">
        <x:v>P0-P3</x:v>
      </x:c>
      <x:c r="D137" s="112" t="str">
        <x:v>D-10,TASK-023</x:v>
      </x:c>
      <x:c r="E137" s="112" t="str">
        <x:v>UAT / документ / контрольная сверка</x:v>
      </x:c>
      <x:c r="F137" s="112" t="str">
        <x:v>Владелец 1С</x:v>
      </x:c>
      <x:c r="G137" s="113" t="str">
        <x:v>ОТКРЫТОЕ РЕШЕНИЕ</x:v>
      </x:c>
    </x:row>
    <x:row r="138" ht="38" customHeight="1">
      <x:c r="A138" s="111" t="str">
        <x:v>NFR-012</x:v>
      </x:c>
      <x:c r="B138" s="112" t="str">
        <x:v>Нефункциональные требования</x:v>
      </x:c>
      <x:c r="C138" s="112" t="str">
        <x:v>P7</x:v>
      </x:c>
      <x:c r="D138" s="112" t="str">
        <x:v>TASK-025</x:v>
      </x:c>
      <x:c r="E138" s="112" t="str">
        <x:v>UAT / документ / контрольная сверка</x:v>
      </x:c>
      <x:c r="F138" s="112" t="str">
        <x:v>Руководитель проекта</x:v>
      </x:c>
      <x:c r="G138" s="113" t="str">
        <x:v>BASELINE</x:v>
      </x:c>
    </x:row>
    <x:row r="139" ht="38" customHeight="1">
      <x:c r="A139" s="114" t="str">
        <x:v>NFR-013</x:v>
      </x:c>
      <x:c r="B139" s="115" t="str">
        <x:v>Нефункциональные требования</x:v>
      </x:c>
      <x:c r="C139" s="115" t="str">
        <x:v>P3-P7</x:v>
      </x:c>
      <x:c r="D139" s="115" t="str">
        <x:v>WORK-001…009,TASK-024</x:v>
      </x:c>
      <x:c r="E139" s="115" t="str">
        <x:v>UAT / документ / контрольная сверка</x:v>
      </x:c>
      <x:c r="F139" s="115" t="str">
        <x:v>Технический лидер</x:v>
      </x:c>
      <x:c r="G139" s="116" t="str">
        <x:v>ЧАСТИЧНО РЕАЛИЗОВАНО</x:v>
      </x:c>
    </x:row>
    <x:row r="140">
      <x:c r="A140" t="str">
        <x:v>ARC-001</x:v>
      </x:c>
      <x:c r="B140" t="str">
        <x:v>Интеграции и обмены</x:v>
      </x:c>
      <x:c r="C140" t="str">
        <x:v>P0-P3</x:v>
      </x:c>
      <x:c r="D140" t="str">
        <x:v>D-31,D-32</x:v>
      </x:c>
      <x:c r="E140" t="str">
        <x:v>Документ / migration rehearsal / UAT / контрольная сверка</x:v>
      </x:c>
      <x:c r="F140" t="str">
        <x:v>Архитектурный комитет / владелец 1С</x:v>
      </x:c>
      <x:c r="G140" t="str">
        <x:v>BASELINE</x:v>
      </x:c>
    </x:row>
    <x:row r="141">
      <x:c r="A141" t="str">
        <x:v>ARC-002</x:v>
      </x:c>
      <x:c r="B141" t="str">
        <x:v>Интеграции и обмены</x:v>
      </x:c>
      <x:c r="C141" t="str">
        <x:v>P1-P3</x:v>
      </x:c>
      <x:c r="D141" t="str">
        <x:v>P1-exchange</x:v>
      </x:c>
      <x:c r="E141" t="str">
        <x:v>Документ / migration rehearsal / UAT / контрольная сверка</x:v>
      </x:c>
      <x:c r="F141" t="str">
        <x:v>Финансы / главный бухгалтер / ИТ</x:v>
      </x:c>
      <x:c r="G141" t="str">
        <x:v>BASELINE</x:v>
      </x:c>
    </x:row>
    <x:row r="142">
      <x:c r="A142" t="str">
        <x:v>ARC-003</x:v>
      </x:c>
      <x:c r="B142" t="str">
        <x:v>Розница и магазины</x:v>
      </x:c>
      <x:c r="C142" t="str">
        <x:v>P0-P7</x:v>
      </x:c>
      <x:c r="D142" t="str">
        <x:v>D-33</x:v>
      </x:c>
      <x:c r="E142" t="str">
        <x:v>Документ / migration rehearsal / UAT / контрольная сверка</x:v>
      </x:c>
      <x:c r="F142" t="str">
        <x:v>Розница / владелец 1С</x:v>
      </x:c>
      <x:c r="G142" t="str">
        <x:v>BASELINE</x:v>
      </x:c>
    </x:row>
    <x:row r="143">
      <x:c r="A143" t="str">
        <x:v>ARC-004</x:v>
      </x:c>
      <x:c r="B143" t="str">
        <x:v>Розница и магазины</x:v>
      </x:c>
      <x:c r="C143" t="str">
        <x:v>P3-P7</x:v>
      </x:c>
      <x:c r="D143" t="str">
        <x:v>UAT-Retail-offline</x:v>
      </x:c>
      <x:c r="E143" t="str">
        <x:v>Документ / migration rehearsal / UAT / контрольная сверка</x:v>
      </x:c>
      <x:c r="F143" t="str">
        <x:v>Розница / ИТ</x:v>
      </x:c>
      <x:c r="G143" t="str">
        <x:v>BASELINE</x:v>
      </x:c>
    </x:row>
    <x:row r="144">
      <x:c r="A144" t="str">
        <x:v>ARC-005</x:v>
      </x:c>
      <x:c r="B144" t="str">
        <x:v>НСИ и качество данных</x:v>
      </x:c>
      <x:c r="C144" t="str">
        <x:v>P2-P4</x:v>
      </x:c>
      <x:c r="D144" t="str">
        <x:v>P2-NSI</x:v>
      </x:c>
      <x:c r="E144" t="str">
        <x:v>Документ / migration rehearsal / UAT / контрольная сверка</x:v>
      </x:c>
      <x:c r="F144" t="str">
        <x:v>Владелец НСИ / КМ</x:v>
      </x:c>
      <x:c r="G144" t="str">
        <x:v>BASELINE</x:v>
      </x:c>
    </x:row>
    <x:row r="145">
      <x:c r="A145" t="str">
        <x:v>ARC-006</x:v>
      </x:c>
      <x:c r="B145" t="str">
        <x:v>Цены и маржинальность</x:v>
      </x:c>
      <x:c r="C145" t="str">
        <x:v>P2-P6</x:v>
      </x:c>
      <x:c r="D145" t="str">
        <x:v>D-36</x:v>
      </x:c>
      <x:c r="E145" t="str">
        <x:v>Документ / migration rehearsal / UAT / контрольная сверка</x:v>
      </x:c>
      <x:c r="F145" t="str">
        <x:v>Коммерция / ИТ</x:v>
      </x:c>
      <x:c r="G145" t="str">
        <x:v>BASELINE</x:v>
      </x:c>
    </x:row>
    <x:row r="146">
      <x:c r="A146" t="str">
        <x:v>ARC-007</x:v>
      </x:c>
      <x:c r="B146" t="str">
        <x:v>Управление проектом</x:v>
      </x:c>
      <x:c r="C146" t="str">
        <x:v>P2-P7</x:v>
      </x:c>
      <x:c r="D146" t="str">
        <x:v>RBAC-1C</x:v>
      </x:c>
      <x:c r="E146" t="str">
        <x:v>Документ / migration rehearsal / UAT / контрольная сверка</x:v>
      </x:c>
      <x:c r="F146" t="str">
        <x:v>ИТ / data owners</x:v>
      </x:c>
      <x:c r="G146" t="str">
        <x:v>BASELINE</x:v>
      </x:c>
    </x:row>
    <x:row r="147">
      <x:c r="A147" t="str">
        <x:v>ARC-008</x:v>
      </x:c>
      <x:c r="B147" t="str">
        <x:v>Продажи и коммерческая аналитика</x:v>
      </x:c>
      <x:c r="C147" t="str">
        <x:v>P6-P7</x:v>
      </x:c>
      <x:c r="D147" t="str">
        <x:v>P6-BI</x:v>
      </x:c>
      <x:c r="E147" t="str">
        <x:v>Документ / migration rehearsal / UAT / контрольная сверка</x:v>
      </x:c>
      <x:c r="F147" t="str">
        <x:v>Коммерция / финансы / BI</x:v>
      </x:c>
      <x:c r="G147" t="str">
        <x:v>BASELINE</x:v>
      </x:c>
    </x:row>
    <x:row r="148">
      <x:c r="A148" t="str">
        <x:v>ARC-009</x:v>
      </x:c>
      <x:c r="B148" t="str">
        <x:v>Остатки, склад и движение</x:v>
      </x:c>
      <x:c r="C148" t="str">
        <x:v>P2-P6</x:v>
      </x:c>
      <x:c r="D148" t="str">
        <x:v>P4-order</x:v>
      </x:c>
      <x:c r="E148" t="str">
        <x:v>Документ / migration rehearsal / UAT / контрольная сверка</x:v>
      </x:c>
      <x:c r="F148" t="str">
        <x:v>КМ / логистика</x:v>
      </x:c>
      <x:c r="G148" t="str">
        <x:v>BASELINE</x:v>
      </x:c>
    </x:row>
    <x:row r="149">
      <x:c r="A149" t="str">
        <x:v>ARC-010</x:v>
      </x:c>
      <x:c r="B149" t="str">
        <x:v>Интеграции и обмены</x:v>
      </x:c>
      <x:c r="C149" t="str">
        <x:v>P1-P7</x:v>
      </x:c>
      <x:c r="D149" t="str">
        <x:v>P1-exchange,TASK-024</x:v>
      </x:c>
      <x:c r="E149" t="str">
        <x:v>Документ / migration rehearsal / UAT / контрольная сверка</x:v>
      </x:c>
      <x:c r="F149" t="str">
        <x:v>ИТ</x:v>
      </x:c>
      <x:c r="G149" t="str">
        <x:v>BASELINE</x:v>
      </x:c>
    </x:row>
    <x:row r="150">
      <x:c r="A150" t="str">
        <x:v>CFG-001</x:v>
      </x:c>
      <x:c r="B150" t="str">
        <x:v>Управление проектом</x:v>
      </x:c>
      <x:c r="C150" t="str">
        <x:v>P0</x:v>
      </x:c>
      <x:c r="D150" t="str">
        <x:v>P0-extension-audit</x:v>
      </x:c>
      <x:c r="E150" t="str">
        <x:v>Документ / migration rehearsal / UAT / контрольная сверка</x:v>
      </x:c>
      <x:c r="F150" t="str">
        <x:v>Владелец 1С / архитектурный комитет</x:v>
      </x:c>
      <x:c r="G150" t="str">
        <x:v>BASELINE</x:v>
      </x:c>
    </x:row>
    <x:row r="151">
      <x:c r="A151" t="str">
        <x:v>CFG-002</x:v>
      </x:c>
      <x:c r="B151" t="str">
        <x:v>Управление проектом</x:v>
      </x:c>
      <x:c r="C151" t="str">
        <x:v>P0-P2</x:v>
      </x:c>
      <x:c r="D151" t="str">
        <x:v>D-37</x:v>
      </x:c>
      <x:c r="E151" t="str">
        <x:v>Документ / migration rehearsal / UAT / контрольная сверка</x:v>
      </x:c>
      <x:c r="F151" t="str">
        <x:v>Архитектурный комитет</x:v>
      </x:c>
      <x:c r="G151" t="str">
        <x:v>ОТКРЫТОЕ РЕШЕНИЕ</x:v>
      </x:c>
    </x:row>
    <x:row r="152">
      <x:c r="A152" t="str">
        <x:v>CFG-003</x:v>
      </x:c>
      <x:c r="B152" t="str">
        <x:v>НСИ и качество данных</x:v>
      </x:c>
      <x:c r="C152" t="str">
        <x:v>P0-P3</x:v>
      </x:c>
      <x:c r="D152" t="str">
        <x:v>D-39</x:v>
      </x:c>
      <x:c r="E152" t="str">
        <x:v>Документ / migration rehearsal / UAT / контрольная сверка</x:v>
      </x:c>
      <x:c r="F152" t="str">
        <x:v>Владелец 1С / data owners</x:v>
      </x:c>
      <x:c r="G152" t="str">
        <x:v>BASELINE</x:v>
      </x:c>
    </x:row>
    <x:row r="153">
      <x:c r="A153" t="str">
        <x:v>CFG-004</x:v>
      </x:c>
      <x:c r="B153" t="str">
        <x:v>Нефункциональные требования</x:v>
      </x:c>
      <x:c r="C153" t="str">
        <x:v>P0</x:v>
      </x:c>
      <x:c r="D153" t="str">
        <x:v>D-38</x:v>
      </x:c>
      <x:c r="E153" t="str">
        <x:v>Документ / migration rehearsal / UAT / контрольная сверка</x:v>
      </x:c>
      <x:c r="F153" t="str">
        <x:v>Юрист / ИТ</x:v>
      </x:c>
      <x:c r="G153" t="str">
        <x:v>ОТКРЫТОЕ РЕШЕНИЕ</x:v>
      </x:c>
    </x:row>
    <x:row r="154">
      <x:c r="A154" t="str">
        <x:v>CFG-005</x:v>
      </x:c>
      <x:c r="B154" t="str">
        <x:v>Закупки и заказ</x:v>
      </x:c>
      <x:c r="C154" t="str">
        <x:v>P0-P4</x:v>
      </x:c>
      <x:c r="D154" t="str">
        <x:v>P4-order</x:v>
      </x:c>
      <x:c r="E154" t="str">
        <x:v>Документ / migration rehearsal / UAT / контрольная сверка</x:v>
      </x:c>
      <x:c r="F154" t="str">
        <x:v>КМ / владелец 1С</x:v>
      </x:c>
      <x:c r="G154" t="str">
        <x:v>КРИТИЧЕСКИЙ АНАЛИЗ</x:v>
      </x:c>
    </x:row>
    <x:row r="155">
      <x:c r="A155" t="str">
        <x:v>CFG-006</x:v>
      </x:c>
      <x:c r="B155" t="str">
        <x:v>Интеграции и обмены</x:v>
      </x:c>
      <x:c r="C155" t="str">
        <x:v>P1-P7</x:v>
      </x:c>
      <x:c r="D155" t="str">
        <x:v>D-34</x:v>
      </x:c>
      <x:c r="E155" t="str">
        <x:v>Документ / migration rehearsal / UAT / контрольная сверка</x:v>
      </x:c>
      <x:c r="F155" t="str">
        <x:v>Розница / владелец 1С</x:v>
      </x:c>
      <x:c r="G155" t="str">
        <x:v>BASELINE</x:v>
      </x:c>
    </x:row>
    <x:row r="156">
      <x:c r="A156" t="str">
        <x:v>CFG-007</x:v>
      </x:c>
      <x:c r="B156" t="str">
        <x:v>Финансы и управленческий учёт</x:v>
      </x:c>
      <x:c r="C156" t="str">
        <x:v>P2-P6</x:v>
      </x:c>
      <x:c r="D156" t="str">
        <x:v>P6-finance</x:v>
      </x:c>
      <x:c r="E156" t="str">
        <x:v>Документ / migration rehearsal / UAT / контрольная сверка</x:v>
      </x:c>
      <x:c r="F156" t="str">
        <x:v>Финансы / владелец 1С</x:v>
      </x:c>
      <x:c r="G156" t="str">
        <x:v>BASELINE</x:v>
      </x:c>
    </x:row>
    <x:row r="157">
      <x:c r="A157" t="str">
        <x:v>CFG-008</x:v>
      </x:c>
      <x:c r="B157" t="str">
        <x:v>Финансы и управленческий учёт</x:v>
      </x:c>
      <x:c r="C157" t="str">
        <x:v>P0-P2</x:v>
      </x:c>
      <x:c r="D157" t="str">
        <x:v>P2-fin-method</x:v>
      </x:c>
      <x:c r="E157" t="str">
        <x:v>Документ / migration rehearsal / UAT / контрольная сверка</x:v>
      </x:c>
      <x:c r="F157" t="str">
        <x:v>Финансовый директор / владелец 1С</x:v>
      </x:c>
      <x:c r="G157" t="str">
        <x:v>ОТКРЫТОЕ РЕШЕНИЕ</x:v>
      </x:c>
    </x:row>
    <x:row r="158">
      <x:c r="A158" t="str">
        <x:v>CFG-009</x:v>
      </x:c>
      <x:c r="B158" t="str">
        <x:v>Нефункциональные требования</x:v>
      </x:c>
      <x:c r="C158" t="str">
        <x:v>P0-P3</x:v>
      </x:c>
      <x:c r="D158" t="str">
        <x:v>D-40</x:v>
      </x:c>
      <x:c r="E158" t="str">
        <x:v>Документ / migration rehearsal / UAT / контрольная сверка</x:v>
      </x:c>
      <x:c r="F158" t="str">
        <x:v>Владелец 1С / QA</x:v>
      </x:c>
      <x:c r="G158" t="str">
        <x:v>BASELINE</x:v>
      </x:c>
    </x:row>
    <x:row r="159">
      <x:c r="A159" t="str">
        <x:v>CFG-010</x:v>
      </x:c>
      <x:c r="B159" t="str">
        <x:v>Релизы и эксплуатация</x:v>
      </x:c>
      <x:c r="C159" t="str">
        <x:v>P3-P7</x:v>
      </x:c>
      <x:c r="D159" t="str">
        <x:v>P7-rollout</x:v>
      </x:c>
      <x:c r="E159" t="str">
        <x:v>Документ / migration rehearsal / UAT / контрольная сверка</x:v>
      </x:c>
      <x:c r="F159" t="str">
        <x:v>Владелец 1С / QA</x:v>
      </x:c>
      <x:c r="G159" t="str">
        <x:v>BASELINE</x:v>
      </x:c>
    </x:row>
    <x:row r="160" ht="38" customHeight="1">
      <x:c r="A160" s="1060" t="str">
        <x:v>SCL-001</x:v>
      </x:c>
      <x:c r="B160" s="1060" t="str">
        <x:v>Масштабирование и розница</x:v>
      </x:c>
      <x:c r="C160" s="1060" t="str">
        <x:v>P2-P6</x:v>
      </x:c>
      <x:c r="D160" s="1060" t="str">
        <x:v>P6-BI</x:v>
      </x:c>
      <x:c r="E160" s="1060" t="str">
        <x:v>UAT / контрольный пример / сверка до документа</x:v>
      </x:c>
      <x:c r="F160" s="1060" t="str">
        <x:v>Собственник / соучредитель</x:v>
      </x:c>
      <x:c r="G160" s="1060" t="str">
        <x:v>BASELINE</x:v>
      </x:c>
    </x:row>
    <x:row r="161" ht="38" customHeight="1">
      <x:c r="A161" s="1060" t="str">
        <x:v>SCL-002</x:v>
      </x:c>
      <x:c r="B161" s="1060" t="str">
        <x:v>Масштабирование и розница</x:v>
      </x:c>
      <x:c r="C161" s="1060" t="str">
        <x:v>P0-P2</x:v>
      </x:c>
      <x:c r="D161" s="1060" t="str">
        <x:v>P1-data</x:v>
      </x:c>
      <x:c r="E161" s="1060" t="str">
        <x:v>UAT / контрольный пример / сверка до документа</x:v>
      </x:c>
      <x:c r="F161" s="1060" t="str">
        <x:v>Владелец НСИ</x:v>
      </x:c>
      <x:c r="G161" s="1060" t="str">
        <x:v>BASELINE</x:v>
      </x:c>
    </x:row>
    <x:row r="162" ht="38" customHeight="1">
      <x:c r="A162" s="1060" t="str">
        <x:v>SCL-003</x:v>
      </x:c>
      <x:c r="B162" s="1060" t="str">
        <x:v>Масштабирование и розница</x:v>
      </x:c>
      <x:c r="C162" s="1060" t="str">
        <x:v>P1-P6</x:v>
      </x:c>
      <x:c r="D162" s="1060" t="str">
        <x:v>P1-exchange</x:v>
      </x:c>
      <x:c r="E162" s="1060" t="str">
        <x:v>UAT / контрольный пример / сверка до документа</x:v>
      </x:c>
      <x:c r="F162" s="1060" t="str">
        <x:v>ИТ / data owner</x:v>
      </x:c>
      <x:c r="G162" s="1060" t="str">
        <x:v>BASELINE</x:v>
      </x:c>
    </x:row>
    <x:row r="163" ht="38" customHeight="1">
      <x:c r="A163" s="1060" t="str">
        <x:v>SCL-004</x:v>
      </x:c>
      <x:c r="B163" s="1060" t="str">
        <x:v>Масштабирование и розница</x:v>
      </x:c>
      <x:c r="C163" s="1060" t="str">
        <x:v>P2-P7</x:v>
      </x:c>
      <x:c r="D163" s="1060" t="str">
        <x:v>P7-rollout</x:v>
      </x:c>
      <x:c r="E163" s="1060" t="str">
        <x:v>UAT / контрольный пример / сверка до документа</x:v>
      </x:c>
      <x:c r="F163" s="1060" t="str">
        <x:v>Руководитель розницы / ИТ / финансы</x:v>
      </x:c>
      <x:c r="G163" s="1060" t="str">
        <x:v>BASELINE</x:v>
      </x:c>
    </x:row>
    <x:row r="164" ht="38" customHeight="1">
      <x:c r="A164" s="1060" t="str">
        <x:v>SCL-005</x:v>
      </x:c>
      <x:c r="B164" s="1060" t="str">
        <x:v>Масштабирование и розница</x:v>
      </x:c>
      <x:c r="C164" s="1060" t="str">
        <x:v>P3-P7</x:v>
      </x:c>
      <x:c r="D164" s="1060" t="str">
        <x:v>P7-rollout</x:v>
      </x:c>
      <x:c r="E164" s="1060" t="str">
        <x:v>UAT / контрольный пример / сверка до документа</x:v>
      </x:c>
      <x:c r="F164" s="1060" t="str">
        <x:v>Руководитель проекта / ИТ</x:v>
      </x:c>
      <x:c r="G164" s="1060" t="str">
        <x:v>BASELINE</x:v>
      </x:c>
    </x:row>
    <x:row r="165" ht="38" customHeight="1">
      <x:c r="A165" s="1060" t="str">
        <x:v>SCL-006</x:v>
      </x:c>
      <x:c r="B165" s="1060" t="str">
        <x:v>Масштабирование и розница</x:v>
      </x:c>
      <x:c r="C165" s="1060" t="str">
        <x:v>P2-P7</x:v>
      </x:c>
      <x:c r="D165" s="1060" t="str">
        <x:v>P3-security</x:v>
      </x:c>
      <x:c r="E165" s="1060" t="str">
        <x:v>UAT / контрольный пример / сверка до документа</x:v>
      </x:c>
      <x:c r="F165" s="1060" t="str">
        <x:v>ИТ / владельцы данных</x:v>
      </x:c>
      <x:c r="G165" s="1060" t="str">
        <x:v>BASELINE</x:v>
      </x:c>
    </x:row>
    <x:row r="166" ht="38" customHeight="1">
      <x:c r="A166" s="1060" t="str">
        <x:v>SCL-007</x:v>
      </x:c>
      <x:c r="B166" s="1060" t="str">
        <x:v>Масштабирование и розница</x:v>
      </x:c>
      <x:c r="C166" s="1060" t="str">
        <x:v>P2-P6</x:v>
      </x:c>
      <x:c r="D166" s="1060" t="str">
        <x:v>P2-method</x:v>
      </x:c>
      <x:c r="E166" s="1060" t="str">
        <x:v>UAT / контрольный пример / сверка до документа</x:v>
      </x:c>
      <x:c r="F166" s="1060" t="str">
        <x:v>Коммерческий директор / соучредитель</x:v>
      </x:c>
      <x:c r="G166" s="1060" t="str">
        <x:v>ОТКРЫТОЕ РЕШЕНИЕ</x:v>
      </x:c>
    </x:row>
    <x:row r="167" ht="38" customHeight="1">
      <x:c r="A167" s="1060" t="str">
        <x:v>SCL-008</x:v>
      </x:c>
      <x:c r="B167" s="1060" t="str">
        <x:v>Масштабирование и розница</x:v>
      </x:c>
      <x:c r="C167" s="1060" t="str">
        <x:v>P3-P7</x:v>
      </x:c>
      <x:c r="D167" s="1060" t="str">
        <x:v>P7-rollout</x:v>
      </x:c>
      <x:c r="E167" s="1060" t="str">
        <x:v>UAT / контрольный пример / сверка до документа</x:v>
      </x:c>
      <x:c r="F167" s="1060" t="str">
        <x:v>Руководитель проекта / ИТ</x:v>
      </x:c>
      <x:c r="G167" s="1060" t="str">
        <x:v>BASELINE</x:v>
      </x:c>
    </x:row>
    <x:row r="168" ht="38" customHeight="1">
      <x:c r="A168" s="1060" t="str">
        <x:v>SCL-009</x:v>
      </x:c>
      <x:c r="B168" s="1060" t="str">
        <x:v>Масштабирование и розница</x:v>
      </x:c>
      <x:c r="C168" s="1060" t="str">
        <x:v>P3-P7</x:v>
      </x:c>
      <x:c r="D168" s="1060" t="str">
        <x:v>P3-performance</x:v>
      </x:c>
      <x:c r="E168" s="1060" t="str">
        <x:v>UAT / контрольный пример / сверка до документа</x:v>
      </x:c>
      <x:c r="F168" s="1060" t="str">
        <x:v>ИТ / архитектор</x:v>
      </x:c>
      <x:c r="G168" s="1060" t="str">
        <x:v>BASELINE</x:v>
      </x:c>
    </x:row>
    <x:row r="169" ht="38" customHeight="1">
      <x:c r="A169" s="1060" t="str">
        <x:v>SCL-010</x:v>
      </x:c>
      <x:c r="B169" s="1060" t="str">
        <x:v>Масштабирование и розница</x:v>
      </x:c>
      <x:c r="C169" s="1060" t="str">
        <x:v>P0-P7</x:v>
      </x:c>
      <x:c r="D169" s="1060" t="str">
        <x:v>P7-support</x:v>
      </x:c>
      <x:c r="E169" s="1060" t="str">
        <x:v>UAT / контрольный пример / сверка до документа</x:v>
      </x:c>
      <x:c r="F169" s="1060" t="str">
        <x:v>ИТ / операционный руководитель</x:v>
      </x:c>
      <x:c r="G169" s="1060" t="str">
        <x:v>BASELINE</x:v>
      </x:c>
    </x:row>
    <x:row r="170" ht="38" customHeight="1">
      <x:c r="A170" s="1060" t="str">
        <x:v>SCL-011</x:v>
      </x:c>
      <x:c r="B170" s="1060" t="str">
        <x:v>Масштабирование и розница</x:v>
      </x:c>
      <x:c r="C170" s="1060" t="str">
        <x:v>P6-P7</x:v>
      </x:c>
      <x:c r="D170" s="1060" t="str">
        <x:v>P6-planning</x:v>
      </x:c>
      <x:c r="E170" s="1060" t="str">
        <x:v>UAT / контрольный пример / сверка до документа</x:v>
      </x:c>
      <x:c r="F170" s="1060" t="str">
        <x:v>Собственник / соучредитель / финансы</x:v>
      </x:c>
      <x:c r="G170" s="1060" t="str">
        <x:v>КАНДИДАТ ВОЛНЫ 2</x:v>
      </x:c>
    </x:row>
    <x:row r="171" ht="38" customHeight="1">
      <x:c r="A171" s="1060" t="str">
        <x:v>SCL-012</x:v>
      </x:c>
      <x:c r="B171" s="1060" t="str">
        <x:v>Масштабирование и розница</x:v>
      </x:c>
      <x:c r="C171" s="1060" t="str">
        <x:v>P2-P6</x:v>
      </x:c>
      <x:c r="D171" s="1060" t="str">
        <x:v>P6-BI</x:v>
      </x:c>
      <x:c r="E171" s="1060" t="str">
        <x:v>UAT / контрольный пример / сверка до документа</x:v>
      </x:c>
      <x:c r="F171" s="1060" t="str">
        <x:v>Соучредитель / координатор</x:v>
      </x:c>
      <x:c r="G171" s="1060" t="str">
        <x:v>BASELINE</x:v>
      </x:c>
    </x:row>
    <x:row r="172" ht="38" customHeight="1">
      <x:c r="A172" s="1060" t="str">
        <x:v>OPS-001</x:v>
      </x:c>
      <x:c r="B172" s="1060" t="str">
        <x:v>Продажи и операционное управление</x:v>
      </x:c>
      <x:c r="C172" s="1060" t="str">
        <x:v>P2-P6</x:v>
      </x:c>
      <x:c r="D172" s="1060" t="str">
        <x:v>P6-sales</x:v>
      </x:c>
      <x:c r="E172" s="1060" t="str">
        <x:v>UAT / контрольный пример / сверка до документа</x:v>
      </x:c>
      <x:c r="F172" s="1060" t="str">
        <x:v>Операционный директор</x:v>
      </x:c>
      <x:c r="G172" s="1060" t="str">
        <x:v>BASELINE</x:v>
      </x:c>
    </x:row>
    <x:row r="173" ht="38" customHeight="1">
      <x:c r="A173" s="1060" t="str">
        <x:v>OPS-002</x:v>
      </x:c>
      <x:c r="B173" s="1060" t="str">
        <x:v>Продажи и операционное управление</x:v>
      </x:c>
      <x:c r="C173" s="1060" t="str">
        <x:v>P1-P2</x:v>
      </x:c>
      <x:c r="D173" s="1060" t="str">
        <x:v>P2-method</x:v>
      </x:c>
      <x:c r="E173" s="1060" t="str">
        <x:v>UAT / контрольный пример / сверка до документа</x:v>
      </x:c>
      <x:c r="F173" s="1060" t="str">
        <x:v>Операционный директор / финансовый директор</x:v>
      </x:c>
      <x:c r="G173" s="1060" t="str">
        <x:v>ОТКРЫТОЕ РЕШЕНИЕ</x:v>
      </x:c>
    </x:row>
    <x:row r="174" ht="38" customHeight="1">
      <x:c r="A174" s="1060" t="str">
        <x:v>OPS-003</x:v>
      </x:c>
      <x:c r="B174" s="1060" t="str">
        <x:v>Продажи и операционное управление</x:v>
      </x:c>
      <x:c r="C174" s="1060" t="str">
        <x:v>P1-P3</x:v>
      </x:c>
      <x:c r="D174" s="1060" t="str">
        <x:v>P1-data</x:v>
      </x:c>
      <x:c r="E174" s="1060" t="str">
        <x:v>UAT / контрольный пример / сверка до документа</x:v>
      </x:c>
      <x:c r="F174" s="1060" t="str">
        <x:v>Операционный директор / владелец НСИ</x:v>
      </x:c>
      <x:c r="G174" s="1060" t="str">
        <x:v>BASELINE</x:v>
      </x:c>
    </x:row>
    <x:row r="175" ht="38" customHeight="1">
      <x:c r="A175" s="1060" t="str">
        <x:v>OPS-004</x:v>
      </x:c>
      <x:c r="B175" s="1060" t="str">
        <x:v>Продажи и операционное управление</x:v>
      </x:c>
      <x:c r="C175" s="1060" t="str">
        <x:v>P4-P6</x:v>
      </x:c>
      <x:c r="D175" s="1060" t="str">
        <x:v>P6-sales</x:v>
      </x:c>
      <x:c r="E175" s="1060" t="str">
        <x:v>UAT / контрольный пример / сверка до документа</x:v>
      </x:c>
      <x:c r="F175" s="1060" t="str">
        <x:v>Операционный директор</x:v>
      </x:c>
      <x:c r="G175" s="1060" t="str">
        <x:v>ТРЕБУЕТ ВЕРИФИКАЦИИ</x:v>
      </x:c>
    </x:row>
    <x:row r="176" ht="38" customHeight="1">
      <x:c r="A176" s="1060" t="str">
        <x:v>OPS-005</x:v>
      </x:c>
      <x:c r="B176" s="1060" t="str">
        <x:v>Продажи и операционное управление</x:v>
      </x:c>
      <x:c r="C176" s="1060" t="str">
        <x:v>P2-P6</x:v>
      </x:c>
      <x:c r="D176" s="1060" t="str">
        <x:v>P6-sales</x:v>
      </x:c>
      <x:c r="E176" s="1060" t="str">
        <x:v>UAT / контрольный пример / сверка до документа</x:v>
      </x:c>
      <x:c r="F176" s="1060" t="str">
        <x:v>Операционный директор / склад</x:v>
      </x:c>
      <x:c r="G176" s="1060" t="str">
        <x:v>BASELINE</x:v>
      </x:c>
    </x:row>
    <x:row r="177" ht="38" customHeight="1">
      <x:c r="A177" s="1060" t="str">
        <x:v>OPS-006</x:v>
      </x:c>
      <x:c r="B177" s="1060" t="str">
        <x:v>Продажи и операционное управление</x:v>
      </x:c>
      <x:c r="C177" s="1060" t="str">
        <x:v>P2-P6</x:v>
      </x:c>
      <x:c r="D177" s="1060" t="str">
        <x:v>P2-method</x:v>
      </x:c>
      <x:c r="E177" s="1060" t="str">
        <x:v>UAT / контрольный пример / сверка до документа</x:v>
      </x:c>
      <x:c r="F177" s="1060" t="str">
        <x:v>Коммерческий директор / финансы</x:v>
      </x:c>
      <x:c r="G177" s="1060" t="str">
        <x:v>ОТКРЫТОЕ РЕШЕНИЕ</x:v>
      </x:c>
    </x:row>
    <x:row r="178" ht="38" customHeight="1">
      <x:c r="A178" s="1060" t="str">
        <x:v>OPS-007</x:v>
      </x:c>
      <x:c r="B178" s="1060" t="str">
        <x:v>Продажи и операционное управление</x:v>
      </x:c>
      <x:c r="C178" s="1060" t="str">
        <x:v>P4-P6</x:v>
      </x:c>
      <x:c r="D178" s="1060" t="str">
        <x:v>P6-sales</x:v>
      </x:c>
      <x:c r="E178" s="1060" t="str">
        <x:v>UAT / контрольный пример / сверка до документа</x:v>
      </x:c>
      <x:c r="F178" s="1060" t="str">
        <x:v>Операционный директор</x:v>
      </x:c>
      <x:c r="G178" s="1060" t="str">
        <x:v>BASELINE</x:v>
      </x:c>
    </x:row>
    <x:row r="179" ht="38" customHeight="1">
      <x:c r="A179" s="1060" t="str">
        <x:v>OPS-008</x:v>
      </x:c>
      <x:c r="B179" s="1060" t="str">
        <x:v>Продажи и операционное управление</x:v>
      </x:c>
      <x:c r="C179" s="1060" t="str">
        <x:v>P2-P6</x:v>
      </x:c>
      <x:c r="D179" s="1060" t="str">
        <x:v>P2-method</x:v>
      </x:c>
      <x:c r="E179" s="1060" t="str">
        <x:v>UAT / контрольный пример / сверка до документа</x:v>
      </x:c>
      <x:c r="F179" s="1060" t="str">
        <x:v>Операционный директор / финансы</x:v>
      </x:c>
      <x:c r="G179" s="1060" t="str">
        <x:v>ОТКРЫТОЕ РЕШЕНИЕ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b2acf25909f460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4" hidden="0" customWidth="1"/>
    <x:col min="4" max="4" width="10" hidden="0" customWidth="1"/>
    <x:col min="5" max="5" width="64" hidden="0" customWidth="1"/>
    <x:col min="6" max="6" width="58" hidden="0" customWidth="1"/>
  </x:cols>
  <x:sheetData>
    <x:row r="1" ht="32" customHeight="1">
      <x:c r="A1" s="5" t="str">
        <x:v>Фактический статус технической реализации</x:v>
      </x:c>
      <x:c r="B1" s="5"/>
      <x:c r="C1" s="5"/>
      <x:c r="D1" s="5"/>
      <x:c r="E1" s="5"/>
      <x:c r="F1" s="5"/>
    </x:row>
    <x:row r="2" ht="28" customHeight="1">
      <x:c r="A2" s="14" t="str">
        <x:v>Срез репозитория fitera2024-rgb/SNAX на 25.08.2026</x:v>
      </x:c>
      <x:c r="B2" s="14"/>
      <x:c r="C2" s="14"/>
      <x:c r="D2" s="14"/>
      <x:c r="E2" s="14"/>
      <x:c r="F2" s="14"/>
    </x:row>
    <x:row r="4" ht="32" customHeight="1">
      <x:c r="A4" s="73" t="str">
        <x:v>Работа</x:v>
      </x:c>
      <x:c r="B4" s="74" t="str">
        <x:v>Название</x:v>
      </x:c>
      <x:c r="C4" s="74" t="str">
        <x:v>Статус</x:v>
      </x:c>
      <x:c r="D4" s="74" t="str">
        <x:v>PR</x:v>
      </x:c>
      <x:c r="E4" s="74" t="str">
        <x:v>Результат</x:v>
      </x:c>
      <x:c r="F4" s="75" t="str">
        <x:v>Следующий шаг</x:v>
      </x:c>
    </x:row>
    <x:row r="5" ht="50" customHeight="1">
      <x:c r="A5" s="108" t="str">
        <x:v>WORK-001</x:v>
      </x:c>
      <x:c r="B5" s="109" t="str">
        <x:v>Bootstrap внешнего web-сервиса</x:v>
      </x:c>
      <x:c r="C5" s="109" t="str">
        <x:v>MERGED</x:v>
      </x:c>
      <x:c r="D5" s="109" t="str">
        <x:v>#5</x:v>
      </x:c>
      <x:c r="E5" s="109" t="str">
        <x:v>FastAPI, React shell, Docker Compose, CI, контракты и smoke</x:v>
      </x:c>
      <x:c r="F5" s="110" t="str">
        <x:v>Эксплуатационное усиление в P3/P7</x:v>
      </x:c>
    </x:row>
    <x:row r="6" ht="50" customHeight="1">
      <x:c r="A6" s="111" t="str">
        <x:v>WORK-002</x:v>
      </x:c>
      <x:c r="B6" s="112" t="str">
        <x:v>Ядро импорта и immutable storage</x:v>
      </x:c>
      <x:c r="C6" s="112" t="str">
        <x:v>MERGED</x:v>
      </x:c>
      <x:c r="D6" s="112" t="str">
        <x:v>#7</x:v>
      </x:c>
      <x:c r="E6" s="112" t="str">
        <x:v>PostgreSQL lifecycle, SHA-256, MinIO/S3, идемпотентность</x:v>
      </x:c>
      <x:c r="F6" s="113" t="str">
        <x:v>Использовать как фундамент readers</x:v>
      </x:c>
    </x:row>
    <x:row r="7" ht="50" customHeight="1">
      <x:c r="A7" s="111" t="str">
        <x:v>WORK-003</x:v>
      </x:c>
      <x:c r="B7" s="112" t="str">
        <x:v>Queue, outbox и worker</x:v>
      </x:c>
      <x:c r="C7" s="112" t="str">
        <x:v>MERGED</x:v>
      </x:c>
      <x:c r="D7" s="112" t="str">
        <x:v>#8</x:v>
      </x:c>
      <x:c r="E7" s="112" t="str">
        <x:v>Transactional outbox, Celery/Redis, lease, retry, DLQ</x:v>
      </x:c>
      <x:c r="F7" s="113" t="str">
        <x:v>Подключить реальный reader pipeline</x:v>
      </x:c>
    </x:row>
    <x:row r="8" ht="50" customHeight="1">
      <x:c r="A8" s="111" t="str">
        <x:v>WORK-004</x:v>
      </x:c>
      <x:c r="B8" s="112" t="str">
        <x:v>Raw Workbook Model и Reader Protocol</x:v>
      </x:c>
      <x:c r="C8" s="112" t="str">
        <x:v>MERGED</x:v>
      </x:c>
      <x:c r="D8" s="112" t="str">
        <x:v>#9</x:v>
      </x:c>
      <x:c r="E8" s="112" t="str">
        <x:v>Framework-neutral raw model, formulas/cached values, limits contract</x:v>
      </x:c>
      <x:c r="F8" s="113" t="str">
        <x:v>Production readers</x:v>
      </x:c>
    </x:row>
    <x:row r="9" ht="50" customHeight="1">
      <x:c r="A9" s="111" t="str">
        <x:v>WORK-005</x:v>
      </x:c>
      <x:c r="B9" s="112" t="str">
        <x:v>XLSX Reader Adapter</x:v>
      </x:c>
      <x:c r="C9" s="112" t="str">
        <x:v>READY / OPEN</x:v>
      </x:c>
      <x:c r="D9" s="112" t="str">
        <x:v>#10</x:v>
      </x:c>
      <x:c r="E9" s="112" t="str">
        <x:v>Безопасный XLSX reader; локальные проверки пройдены</x:v>
      </x:c>
      <x:c r="F9" s="113" t="str">
        <x:v>Разблокировать CI billing, повторить CI, merge</x:v>
      </x:c>
    </x:row>
    <x:row r="10" ht="50" customHeight="1">
      <x:c r="A10" s="111" t="str">
        <x:v>WORK-006</x:v>
      </x:c>
      <x:c r="B10" s="112" t="str">
        <x:v>Legacy XLS Reader</x:v>
      </x:c>
      <x:c r="C10" s="112" t="str">
        <x:v>BRANCH / NOT CONFIRMED</x:v>
      </x:c>
      <x:c r="D10" s="112" t="str">
        <x:v>—</x:v>
      </x:c>
      <x:c r="E10" s="112" t="str">
        <x:v>Ветка упомянута как база stacked PR; отдельная приёмка не подтверждена</x:v>
      </x:c>
      <x:c r="F10" s="113" t="str">
        <x:v>Инвентаризация ветки и отдельное ревью</x:v>
      </x:c>
    </x:row>
    <x:row r="11" ht="50" customHeight="1">
      <x:c r="A11" s="111" t="str">
        <x:v>WORK-007</x:v>
      </x:c>
      <x:c r="B11" s="112" t="str">
        <x:v>CSV Reader Adapter</x:v>
      </x:c>
      <x:c r="C11" s="112" t="str">
        <x:v>OPEN STACKED</x:v>
      </x:c>
      <x:c r="D11" s="112" t="str">
        <x:v>#12</x:v>
      </x:c>
      <x:c r="E11" s="112" t="str">
        <x:v>CSV, кодировки, диалекты, лимиты</x:v>
      </x:c>
      <x:c r="F11" s="113" t="str">
        <x:v>Независимое ревью после WORK-006</x:v>
      </x:c>
    </x:row>
    <x:row r="12" ht="50" customHeight="1">
      <x:c r="A12" s="111" t="str">
        <x:v>WORK-008</x:v>
      </x:c>
      <x:c r="B12" s="112" t="str">
        <x:v>Supplier Profile Schema</x:v>
      </x:c>
      <x:c r="C12" s="112" t="str">
        <x:v>OPEN STACKED / REVIEW</x:v>
      </x:c>
      <x:c r="D12" s="112" t="str">
        <x:v>#13</x:v>
      </x:c>
      <x:c r="E12" s="112" t="str">
        <x:v>Версионирование и жизненный цикл профилей</x:v>
      </x:c>
      <x:c r="F12" s="113" t="str">
        <x:v>Ретаргет/merge по цепочке</x:v>
      </x:c>
    </x:row>
    <x:row r="13" ht="50" customHeight="1">
      <x:c r="A13" s="114" t="str">
        <x:v>WORK-009</x:v>
      </x:c>
      <x:c r="B13" s="115" t="str">
        <x:v>Supplier Profile Detection</x:v>
      </x:c>
      <x:c r="C13" s="115" t="str">
        <x:v>READY / OPEN STACKED</x:v>
      </x:c>
      <x:c r="D13" s="115" t="str">
        <x:v>#14</x:v>
      </x:c>
      <x:c r="E13" s="115" t="str">
        <x:v>Fingerprint, scoring, ambiguity и template drift</x:v>
      </x:c>
      <x:c r="F13" s="116" t="str">
        <x:v>Merge после WORK-008; затем row classification</x:v>
      </x:c>
    </x:row>
  </x:sheetData>
  <x:mergeCells>
    <x:mergeCell ref="A1:F1"/>
    <x:mergeCell ref="A2:F2"/>
  </x:mergeCells>
  <x:conditionalFormatting sqref="C5:C13">
    <x:cfRule type="expression" dxfId="19" priority="1">
      <x:formula>ISNUMBER(SEARCH("MERGED",C5))</x:formula>
    </x:cfRule>
    <x:cfRule type="expression" dxfId="20" priority="2">
      <x:formula>ISNUMBER(SEARCH("OPEN",C5))</x:formula>
    </x:cfRule>
    <x:cfRule type="expression" dxfId="21" priority="3">
      <x:formula>ISNUMBER(SEARCH("NOT CONFIRMED",C5))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9e706bdab3d48d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4" hidden="0" customWidth="1"/>
    <x:col min="3" max="3" width="12" hidden="0" customWidth="1"/>
    <x:col min="4" max="4" width="12" hidden="0" customWidth="1"/>
    <x:col min="5" max="5" width="18" hidden="0" customWidth="1"/>
    <x:col min="6" max="6" width="58" hidden="0" customWidth="1"/>
    <x:col min="7" max="7" width="13" hidden="0" customWidth="1"/>
    <x:col min="8" max="8" width="25" hidden="0" customWidth="1"/>
    <x:col min="9" max="9" width="56" hidden="0" customWidth="1"/>
    <x:col min="10" max="10" width="24" hidden="0" customWidth="1"/>
    <x:col min="11" max="11" width="22" hidden="0" customWidth="1"/>
    <x:col min="12" max="12" width="40" hidden="0" customWidth="1"/>
    <x:col min="13" max="13" width="14" hidden="0" customWidth="1"/>
    <x:col min="14" max="14" width="12" hidden="0" customWidth="1"/>
    <x:col min="16" max="16" width="18" hidden="0" customWidth="1"/>
    <x:col min="17" max="17" width="18" hidden="0" customWidth="1"/>
  </x:cols>
  <x:sheetData>
    <x:row r="1" ht="15" hidden="0" customHeight="1">
      <x:c r="A1" s="1036" t="str">
        <x:v>Портфель расширений 1С:УТ SNAX — первичный анализ и проектная стратегия</x:v>
      </x:c>
      <x:c r="B1" s="1036"/>
      <x:c r="C1" s="1036"/>
      <x:c r="D1" s="1036"/>
      <x:c r="E1" s="1036"/>
      <x:c r="F1" s="1036"/>
      <x:c r="G1" s="1036"/>
      <x:c r="H1" s="1036"/>
      <x:c r="I1" s="1036"/>
      <x:c r="J1" s="1036"/>
      <x:c r="K1" s="1036"/>
      <x:c r="L1" s="1036"/>
      <x:c r="M1" s="1036"/>
      <x:c r="N1" s="1036"/>
      <x:c r="O1" s="1007"/>
      <x:c r="P1" s="1007"/>
      <x:c r="Q1" s="1007"/>
      <x:c r="R1" s="1007"/>
      <x:c r="S1" s="1007"/>
      <x:c r="T1" s="1007"/>
      <x:c r="U1" s="1007"/>
      <x:c r="V1" s="1007"/>
      <x:c r="W1" s="1007"/>
    </x:row>
    <x:row r="2" ht="15" hidden="0" customHeight="1">
      <x:c r="A2" s="867" t="str">
        <x:v>Источник: восстановленный лист «Расширения» из файла «Анализ конфигурации UT SNAX.xlsx». Предварительные риск и действие — проектная оценка, не решение об отключении.</x:v>
      </x:c>
      <x:c r="B2" s="867"/>
      <x:c r="C2" s="867"/>
      <x:c r="D2" s="867"/>
      <x:c r="E2" s="867"/>
      <x:c r="F2" s="867"/>
      <x:c r="G2" s="867"/>
      <x:c r="H2" s="867"/>
      <x:c r="I2" s="867"/>
      <x:c r="J2" s="867"/>
      <x:c r="K2" s="867"/>
      <x:c r="L2" s="867"/>
      <x:c r="M2" s="867"/>
      <x:c r="N2" s="867"/>
      <x:c r="O2" s="1007"/>
      <x:c r="P2" s="1007"/>
      <x:c r="Q2" s="1007"/>
      <x:c r="R2" s="1007"/>
      <x:c r="S2" s="1007"/>
      <x:c r="T2" s="1007"/>
      <x:c r="U2" s="1007"/>
      <x:c r="V2" s="1007"/>
      <x:c r="W2" s="1007"/>
    </x:row>
    <x:row r="3" ht="15" hidden="0" customHeight="1">
      <x:c r="A3" s="1007"/>
      <x:c r="B3" s="1007"/>
      <x:c r="C3" s="1007"/>
      <x:c r="D3" s="1007"/>
      <x:c r="E3" s="1007"/>
      <x:c r="F3" s="1007"/>
      <x:c r="G3" s="1007"/>
      <x:c r="H3" s="1007"/>
      <x:c r="I3" s="1007"/>
      <x:c r="J3" s="1007"/>
      <x:c r="K3" s="1007"/>
      <x:c r="L3" s="1007"/>
      <x:c r="M3" s="1007"/>
      <x:c r="N3" s="1007"/>
      <x:c r="O3" s="1007"/>
      <x:c r="P3" s="1007"/>
      <x:c r="Q3" s="1007"/>
      <x:c r="R3" s="1007"/>
      <x:c r="S3" s="1007"/>
      <x:c r="T3" s="1007"/>
      <x:c r="U3" s="1007"/>
      <x:c r="V3" s="1007"/>
      <x:c r="W3" s="1007"/>
    </x:row>
    <x:row r="4" ht="39.599998474121094" hidden="0" customHeight="1">
      <x:c r="A4" s="875" t="str">
        <x:v>Всего</x:v>
      </x:c>
      <x:c r="B4" s="876" t="str">
        <x:v>Активно</x:v>
      </x:c>
      <x:c r="C4" s="876" t="str">
        <x:v>Неактивно</x:v>
      </x:c>
      <x:c r="D4" s="876" t="str">
        <x:v>Закрытый код</x:v>
      </x:c>
      <x:c r="E4" s="876" t="str">
        <x:v>Режим не используется</x:v>
      </x:c>
      <x:c r="F4" s="876" t="str">
        <x:v>Высокий/критический риск</x:v>
      </x:c>
      <x:c r="G4" s="876" t="str">
        <x:v>Собственные данные/объекты</x:v>
      </x:c>
      <x:c r="H4" s="877" t="str">
        <x:v>Решение D-37</x:v>
      </x:c>
      <x:c r="I4" s="1007"/>
      <x:c r="J4" s="1007"/>
      <x:c r="K4" s="1007"/>
      <x:c r="L4" s="1007"/>
      <x:c r="M4" s="1007"/>
      <x:c r="N4" s="1007"/>
      <x:c r="O4" s="1007"/>
      <x:c r="P4" s="875" t="str">
        <x:v>Риск</x:v>
      </x:c>
      <x:c r="Q4" s="877" t="str">
        <x:v>Количество</x:v>
      </x:c>
      <x:c r="R4" s="1007"/>
      <x:c r="S4" s="1007"/>
      <x:c r="T4" s="1007"/>
      <x:c r="U4" s="1007"/>
      <x:c r="V4" s="1007"/>
      <x:c r="W4" s="1007"/>
    </x:row>
    <x:row r="5" ht="15" hidden="0" customHeight="1">
      <x:c r="A5" s="1043" t="n">
        <x:f>COUNTA(B10:B23)</x:f>
        <x:v>14</x:v>
      </x:c>
      <x:c r="B5" s="1044" t="n">
        <x:f>COUNTIF(C10:C23,"Да")</x:f>
        <x:v>13</x:v>
      </x:c>
      <x:c r="C5" s="1044" t="n">
        <x:f>COUNTIF(C10:C23,"Нет")</x:f>
        <x:v>1</x:v>
      </x:c>
      <x:c r="D5" s="1044" t="n">
        <x:f>COUNTIF(D10:D23,"Да")</x:f>
        <x:v>3</x:v>
      </x:c>
      <x:c r="E5" s="1044" t="n">
        <x:f>COUNTIF(E10:E23,"Не используется")</x:f>
        <x:v>4</x:v>
      </x:c>
      <x:c r="F5" s="1044" t="n">
        <x:f>COUNTIF(G10:G23,"Высокий")+COUNTIF(G10:G23,"Критический")</x:f>
        <x:v>6</x:v>
      </x:c>
      <x:c r="G5" s="1044" t="n">
        <x:f>COUNTA(K14,K16,K19,K21,K23)</x:f>
        <x:v>5</x:v>
      </x:c>
      <x:c r="H5" s="1045" t="str">
        <x:v>Открыто</x:v>
      </x:c>
      <x:c r="I5" s="1007"/>
      <x:c r="J5" s="1007"/>
      <x:c r="K5" s="1007"/>
      <x:c r="L5" s="1007"/>
      <x:c r="M5" s="1007"/>
      <x:c r="N5" s="1007"/>
      <x:c r="O5" s="1007"/>
      <x:c r="P5" s="891" t="str">
        <x:v>Критический</x:v>
      </x:c>
      <x:c r="Q5" s="893" t="n">
        <x:v>2</x:v>
      </x:c>
      <x:c r="R5" s="1007"/>
      <x:c r="S5" s="1007"/>
      <x:c r="T5" s="1007"/>
      <x:c r="U5" s="1007"/>
      <x:c r="V5" s="1007"/>
      <x:c r="W5" s="1007"/>
    </x:row>
    <x:row r="6" ht="15" hidden="0" customHeight="1">
      <x:c r="A6" s="1007"/>
      <x:c r="B6" s="1007"/>
      <x:c r="C6" s="1007"/>
      <x:c r="D6" s="1007"/>
      <x:c r="E6" s="1007"/>
      <x:c r="F6" s="1007"/>
      <x:c r="G6" s="1007"/>
      <x:c r="H6" s="1007"/>
      <x:c r="I6" s="1007"/>
      <x:c r="J6" s="1007"/>
      <x:c r="K6" s="1007"/>
      <x:c r="L6" s="1007"/>
      <x:c r="M6" s="1007"/>
      <x:c r="N6" s="1007"/>
      <x:c r="O6" s="1007"/>
      <x:c r="P6" s="949" t="str">
        <x:v>Высокий</x:v>
      </x:c>
      <x:c r="Q6" s="951" t="n">
        <x:v>4</x:v>
      </x:c>
      <x:c r="R6" s="1007"/>
      <x:c r="S6" s="1007"/>
      <x:c r="T6" s="1007"/>
      <x:c r="U6" s="1007"/>
      <x:c r="V6" s="1007"/>
      <x:c r="W6" s="1007"/>
    </x:row>
    <x:row r="7" ht="15" hidden="0" customHeight="1">
      <x:c r="A7" s="867" t="str">
        <x:v>Реестр 14 расширений</x:v>
      </x:c>
      <x:c r="B7" s="867"/>
      <x:c r="C7" s="867"/>
      <x:c r="D7" s="867"/>
      <x:c r="E7" s="867"/>
      <x:c r="F7" s="867"/>
      <x:c r="G7" s="867"/>
      <x:c r="H7" s="867"/>
      <x:c r="I7" s="867"/>
      <x:c r="J7" s="867"/>
      <x:c r="K7" s="867"/>
      <x:c r="L7" s="867"/>
      <x:c r="M7" s="867"/>
      <x:c r="N7" s="867"/>
      <x:c r="O7" s="1007"/>
      <x:c r="P7" s="949" t="str">
        <x:v>Средний</x:v>
      </x:c>
      <x:c r="Q7" s="951" t="n">
        <x:v>5</x:v>
      </x:c>
      <x:c r="R7" s="1007"/>
      <x:c r="S7" s="1007"/>
      <x:c r="T7" s="1007"/>
      <x:c r="U7" s="1007"/>
      <x:c r="V7" s="1007"/>
      <x:c r="W7" s="1007"/>
    </x:row>
    <x:row r="8" ht="15" hidden="0" customHeight="1">
      <x:c r="A8" s="1007"/>
      <x:c r="B8" s="1007"/>
      <x:c r="C8" s="1007"/>
      <x:c r="D8" s="1007"/>
      <x:c r="E8" s="1007"/>
      <x:c r="F8" s="1007"/>
      <x:c r="G8" s="1007"/>
      <x:c r="H8" s="1007"/>
      <x:c r="I8" s="1007"/>
      <x:c r="J8" s="1007"/>
      <x:c r="K8" s="1007"/>
      <x:c r="L8" s="1007"/>
      <x:c r="M8" s="1007"/>
      <x:c r="N8" s="1007"/>
      <x:c r="O8" s="1007"/>
      <x:c r="P8" s="831" t="str">
        <x:v>Низкий</x:v>
      </x:c>
      <x:c r="Q8" s="833" t="n">
        <x:v>3</x:v>
      </x:c>
      <x:c r="R8" s="1007"/>
      <x:c r="S8" s="1007"/>
      <x:c r="T8" s="1007"/>
      <x:c r="U8" s="1007"/>
      <x:c r="V8" s="1007"/>
      <x:c r="W8" s="1007"/>
    </x:row>
    <x:row r="9" ht="26.399999618530273" hidden="0" customHeight="1">
      <x:c r="A9" s="875" t="str">
        <x:v>№</x:v>
      </x:c>
      <x:c r="B9" s="876" t="str">
        <x:v>Расширение</x:v>
      </x:c>
      <x:c r="C9" s="876" t="str">
        <x:v>Активно</x:v>
      </x:c>
      <x:c r="D9" s="876" t="str">
        <x:v>Закрытый код</x:v>
      </x:c>
      <x:c r="E9" s="876" t="str">
        <x:v>Режим совместимости</x:v>
      </x:c>
      <x:c r="F9" s="876" t="str">
        <x:v>Исходный комментарий</x:v>
      </x:c>
      <x:c r="G9" s="876" t="str">
        <x:v>Риск</x:v>
      </x:c>
      <x:c r="H9" s="876" t="str">
        <x:v>Предварительная категория</x:v>
      </x:c>
      <x:c r="I9" s="876" t="str">
        <x:v>Рекомендуемое действие</x:v>
      </x:c>
      <x:c r="J9" s="876" t="str">
        <x:v>Ключевая зависимость</x:v>
      </x:c>
      <x:c r="K9" s="876" t="str">
        <x:v>Собственные данные</x:v>
      </x:c>
      <x:c r="L9" s="876" t="str">
        <x:v>Связь с архитектурой «Форус»</x:v>
      </x:c>
      <x:c r="M9" s="876" t="str">
        <x:v>Выделено жёлтым</x:v>
      </x:c>
      <x:c r="N9" s="877" t="str">
        <x:v>Источник</x:v>
      </x:c>
      <x:c r="O9" s="1007"/>
      <x:c r="P9" s="1007"/>
      <x:c r="Q9" s="1007"/>
      <x:c r="R9" s="1007"/>
      <x:c r="S9" s="1007"/>
      <x:c r="T9" s="1007"/>
      <x:c r="U9" s="1007"/>
      <x:c r="V9" s="1007"/>
      <x:c r="W9" s="1007"/>
    </x:row>
    <x:row r="10" ht="26.399999618530273" hidden="0" customHeight="1">
      <x:c r="A10" s="891" t="n">
        <x:v>1</x:v>
      </x:c>
      <x:c r="B10" s="892" t="str">
        <x:v>РасширениеMILLI</x:v>
      </x:c>
      <x:c r="C10" s="892" t="str">
        <x:v>Да</x:v>
      </x:c>
      <x:c r="D10" s="892" t="str">
        <x:v>Нет</x:v>
      </x:c>
      <x:c r="E10" s="892" t="str">
        <x:v>8.3.20</x:v>
      </x:c>
      <x:c r="F10" s="892" t="str"/>
      <x:c r="G10" s="892" t="str">
        <x:v>Средний</x:v>
      </x:c>
      <x:c r="H10" s="892" t="str">
        <x:v>Требуется анализ</x:v>
      </x:c>
      <x:c r="I10" s="892" t="str">
        <x:v>Определить владельца, назначение, объекты и фактическое использование; до решения не переносить автоматически</x:v>
      </x:c>
      <x:c r="J10" s="892" t="str">
        <x:v>D-37,D-40</x:v>
      </x:c>
      <x:c r="K10" s="892" t="str">
        <x:v>Не подтверждено</x:v>
      </x:c>
      <x:c r="L10" s="892" t="str">
        <x:v>Не определено</x:v>
      </x:c>
      <x:c r="M10" s="892" t="str">
        <x:v>Нет</x:v>
      </x:c>
      <x:c r="N10" s="893" t="str">
        <x:v>SRC-20</x:v>
      </x:c>
      <x:c r="O10" s="1007"/>
      <x:c r="P10" s="1007"/>
      <x:c r="Q10" s="1007"/>
      <x:c r="R10" s="1007"/>
      <x:c r="S10" s="1007"/>
      <x:c r="T10" s="1007"/>
      <x:c r="U10" s="1007"/>
      <x:c r="V10" s="1007"/>
      <x:c r="W10" s="1007"/>
    </x:row>
    <x:row r="11" ht="26.399999618530273" hidden="0" customHeight="1">
      <x:c r="A11" s="949" t="n">
        <x:v>2</x:v>
      </x:c>
      <x:c r="B11" s="950" t="str">
        <x:v>РасширениеРаботаCQR</x:v>
      </x:c>
      <x:c r="C11" s="950" t="str">
        <x:v>Да</x:v>
      </x:c>
      <x:c r="D11" s="950" t="str">
        <x:v>Нет</x:v>
      </x:c>
      <x:c r="E11" s="950" t="str">
        <x:v>8.3.21</x:v>
      </x:c>
      <x:c r="F11" s="950" t="str"/>
      <x:c r="G11" s="950" t="str">
        <x:v>Средний</x:v>
      </x:c>
      <x:c r="H11" s="950" t="str">
        <x:v>Требуется анализ</x:v>
      </x:c>
      <x:c r="I11" s="950" t="str">
        <x:v>Получить функциональное описание, код и тестовые сценарии; определить целевую конфигурацию</x:v>
      </x:c>
      <x:c r="J11" s="950" t="str">
        <x:v>D-37,D-40</x:v>
      </x:c>
      <x:c r="K11" s="950" t="str">
        <x:v>Не подтверждено</x:v>
      </x:c>
      <x:c r="L11" s="950" t="str">
        <x:v>Не определено</x:v>
      </x:c>
      <x:c r="M11" s="950" t="str">
        <x:v>Нет</x:v>
      </x:c>
      <x:c r="N11" s="951" t="str">
        <x:v>SRC-20</x:v>
      </x:c>
      <x:c r="O11" s="1007"/>
      <x:c r="P11" s="1007"/>
      <x:c r="Q11" s="1007"/>
      <x:c r="R11" s="1007"/>
      <x:c r="S11" s="1007"/>
      <x:c r="T11" s="1007"/>
      <x:c r="U11" s="1007"/>
      <x:c r="V11" s="1007"/>
      <x:c r="W11" s="1007"/>
    </x:row>
    <x:row r="12" ht="39.599998474121094" hidden="0" customHeight="1">
      <x:c r="A12" s="949" t="n">
        <x:v>3</x:v>
      </x:c>
      <x:c r="B12" s="950" t="str">
        <x:v>УчетЗарплаты</x:v>
      </x:c>
      <x:c r="C12" s="950" t="str">
        <x:v>Да</x:v>
      </x:c>
      <x:c r="D12" s="950" t="str">
        <x:v>Нет</x:v>
      </x:c>
      <x:c r="E12" s="950" t="str">
        <x:v>8.3.10</x:v>
      </x:c>
      <x:c r="F12" s="950" t="str">
        <x:v>Практически не использует типовые объекты конфигурации и является самостоятельным решением. Практически не влияет на обновление основной конфигурации.</x:v>
      </x:c>
      <x:c r="G12" s="950" t="str">
        <x:v>Средний</x:v>
      </x:c>
      <x:c r="H12" s="950" t="str">
        <x:v>Сохранить отдельно до решения</x:v>
      </x:c>
      <x:c r="I12" s="950" t="str">
        <x:v>Не смешивать с миграцией ядра; проверить владельца, данные и необходимость переноса в центральную УТ</x:v>
      </x:c>
      <x:c r="J12" s="950" t="str">
        <x:v>D-37,D-40</x:v>
      </x:c>
      <x:c r="K12" s="950" t="str">
        <x:v>Самостоятельные объекты вероятны</x:v>
      </x:c>
      <x:c r="L12" s="950" t="str">
        <x:v>Не относится к розничной топологии напрямую</x:v>
      </x:c>
      <x:c r="M12" s="1047" t="str">
        <x:v>Да</x:v>
      </x:c>
      <x:c r="N12" s="951" t="str">
        <x:v>SRC-20</x:v>
      </x:c>
      <x:c r="O12" s="1007"/>
      <x:c r="P12" s="1007"/>
      <x:c r="Q12" s="1007"/>
      <x:c r="R12" s="1007"/>
      <x:c r="S12" s="1007"/>
      <x:c r="T12" s="1007"/>
      <x:c r="U12" s="1007"/>
      <x:c r="V12" s="1007"/>
      <x:c r="W12" s="1007"/>
    </x:row>
    <x:row r="13" ht="26.399999618530273" hidden="0" customHeight="1">
      <x:c r="A13" s="949" t="n">
        <x:v>4</x:v>
      </x:c>
      <x:c r="B13" s="950" t="str">
        <x:v>СуммарныйВесОбъемПлощадь</x:v>
      </x:c>
      <x:c r="C13" s="950" t="str">
        <x:v>Да</x:v>
      </x:c>
      <x:c r="D13" s="950" t="str">
        <x:v>Нет</x:v>
      </x:c>
      <x:c r="E13" s="950" t="str">
        <x:v>8.3.10</x:v>
      </x:c>
      <x:c r="F13" s="950" t="str">
        <x:v>Вывод на форму, некоторых документов, трех показателей: веса, объема, площади + печатная форма.</x:v>
      </x:c>
      <x:c r="G13" s="950" t="str">
        <x:v>Низкий</x:v>
      </x:c>
      <x:c r="H13" s="950" t="str">
        <x:v>Keep / портировать при необходимости</x:v>
      </x:c>
      <x:c r="I13" s="950" t="str">
        <x:v>Проверить востребованные формы и перенести минимально необходимую функцию на целевой релиз</x:v>
      </x:c>
      <x:c r="J13" s="950" t="str">
        <x:v>D-37,D-40</x:v>
      </x:c>
      <x:c r="K13" s="950" t="str">
        <x:v>Не отмечено</x:v>
      </x:c>
      <x:c r="L13" s="950" t="str">
        <x:v>Кандидат для центральной УТ</x:v>
      </x:c>
      <x:c r="M13" s="950" t="str">
        <x:v>Нет</x:v>
      </x:c>
      <x:c r="N13" s="951" t="str">
        <x:v>SRC-20</x:v>
      </x:c>
      <x:c r="O13" s="1007"/>
      <x:c r="P13" s="1007"/>
      <x:c r="Q13" s="1007"/>
      <x:c r="R13" s="1007"/>
      <x:c r="S13" s="1007"/>
      <x:c r="T13" s="1007"/>
      <x:c r="U13" s="1007"/>
      <x:c r="V13" s="1007"/>
      <x:c r="W13" s="1007"/>
    </x:row>
    <x:row r="14" ht="52.79999923706055" hidden="0" customHeight="1">
      <x:c r="A14" s="1048" t="n">
        <x:v>5</x:v>
      </x:c>
      <x:c r="B14" s="1049" t="str">
        <x:v>ДоработкаИмпорта</x:v>
      </x:c>
      <x:c r="C14" s="1049" t="str">
        <x:v>Да</x:v>
      </x:c>
      <x:c r="D14" s="1049" t="str">
        <x:v>Нет</x:v>
      </x:c>
      <x:c r="E14" s="1049" t="str">
        <x:v>8.3.21</x:v>
      </x:c>
      <x:c r="F14" s="1049" t="str">
        <x:v>Внутри расширения добавлены новые справочники и реквизиты. Можно всё потерять, если расширение отключится и удалится. Изменены формы Партнеры, Организации. Думаю, что это расширение не понадобится, где-то кроме базы Импорта.</x:v>
      </x:c>
      <x:c r="G14" s="1049" t="str">
        <x:v>Высокий</x:v>
      </x:c>
      <x:c r="H14" s="1049" t="str">
        <x:v>Migrate data / вероятный retire</x:v>
      </x:c>
      <x:c r="I14" s="1049" t="str">
        <x:v>Сначала выгрузить справочники и реквизиты; сопоставить с целевой центральной УТ и сервисом нормализации; не отключать без migration rehearsal</x:v>
      </x:c>
      <x:c r="J14" s="1049" t="str">
        <x:v>D-31,D-37,D-39</x:v>
      </x:c>
      <x:c r="K14" s="1049" t="str">
        <x:v>Да: справочники и реквизиты</x:v>
      </x:c>
      <x:c r="L14" s="1049" t="str">
        <x:v>Специализированная импортная функция должна быть отделена от enterprise topology</x:v>
      </x:c>
      <x:c r="M14" s="1049" t="str">
        <x:v>Нет</x:v>
      </x:c>
      <x:c r="N14" s="1050" t="str">
        <x:v>SRC-20</x:v>
      </x:c>
      <x:c r="O14" s="1007"/>
      <x:c r="P14" s="1007"/>
      <x:c r="Q14" s="1007"/>
      <x:c r="R14" s="1007"/>
      <x:c r="S14" s="1007"/>
      <x:c r="T14" s="1007"/>
      <x:c r="U14" s="1007"/>
      <x:c r="V14" s="1007"/>
      <x:c r="W14" s="1007"/>
    </x:row>
    <x:row r="15" ht="26.399999618530273" hidden="0" customHeight="1">
      <x:c r="A15" s="1048" t="n">
        <x:v>6</x:v>
      </x:c>
      <x:c r="B15" s="1049" t="str">
        <x:v>ХЛ_PNL</x:v>
      </x:c>
      <x:c r="C15" s="1049" t="str">
        <x:v>Нет</x:v>
      </x:c>
      <x:c r="D15" s="1049" t="str">
        <x:v>Да</x:v>
      </x:c>
      <x:c r="E15" s="1049" t="str">
        <x:v>8.3.21</x:v>
      </x:c>
      <x:c r="F15" s="1049" t="str"/>
      <x:c r="G15" s="1049" t="str">
        <x:v>Высокий</x:v>
      </x:c>
      <x:c r="H15" s="1049" t="str">
        <x:v>Проверить и заменить/вывести</x:v>
      </x:c>
      <x:c r="I15" s="1049" t="str">
        <x:v>Определить функции и наличие данных; связать с методологией P&amp;L; получить исходники/права либо утвердить замену</x:v>
      </x:c>
      <x:c r="J15" s="1049" t="str">
        <x:v>D-21,D-37,D-38,D-39</x:v>
      </x:c>
      <x:c r="K15" s="1049" t="str">
        <x:v>Не подтверждено</x:v>
      </x:c>
      <x:c r="L15" s="1049" t="str">
        <x:v>Неактивно; не использовать как доказательство целевого P&amp;L</x:v>
      </x:c>
      <x:c r="M15" s="1047" t="str">
        <x:v>Да</x:v>
      </x:c>
      <x:c r="N15" s="1050" t="str">
        <x:v>SRC-20</x:v>
      </x:c>
      <x:c r="O15" s="1007"/>
      <x:c r="P15" s="1007"/>
      <x:c r="Q15" s="1007"/>
      <x:c r="R15" s="1007"/>
      <x:c r="S15" s="1007"/>
      <x:c r="T15" s="1007"/>
      <x:c r="U15" s="1007"/>
      <x:c r="V15" s="1007"/>
      <x:c r="W15" s="1007"/>
    </x:row>
    <x:row r="16" ht="52.79999923706055" hidden="0" customHeight="1">
      <x:c r="A16" s="1048" t="n">
        <x:v>7</x:v>
      </x:c>
      <x:c r="B16" s="1049" t="str">
        <x:v>СФ_ДоработкиОбменаСОфлайнОборудованием</x:v>
      </x:c>
      <x:c r="C16" s="1049" t="str">
        <x:v>Да</x:v>
      </x:c>
      <x:c r="D16" s="1049" t="str">
        <x:v>Нет</x:v>
      </x:c>
      <x:c r="E16" s="1049" t="str">
        <x:v>8.3.24</x:v>
      </x:c>
      <x:c r="F16" s="1049" t="str">
        <x:v>Есть добавленные реквизиты к справочнику ОфлайнОборудование, добавлен новый регистр сведений оф_НастройкиПереназначенияОсобенностейУчетаНоменклатуры. Используется для обмена с фронтол? В центральной УТ не потребуется.</x:v>
      </x:c>
      <x:c r="G16" s="1049" t="str">
        <x:v>Высокий</x:v>
      </x:c>
      <x:c r="H16" s="1049" t="str">
        <x:v>Retire после Retail cutover</x:v>
      </x:c>
      <x:c r="I16" s="1049" t="str">
        <x:v>Подтвердить связь с Frontol, мигрировать нужные настройки, отключать только после устойчивой работы узлов 1С:Розницы</x:v>
      </x:c>
      <x:c r="J16" s="1049" t="str">
        <x:v>D-33,D-34,D-37,D-39</x:v>
      </x:c>
      <x:c r="K16" s="1049" t="str">
        <x:v>Да: реквизиты и регистр</x:v>
      </x:c>
      <x:c r="L16" s="1049" t="str">
        <x:v>Напрямую связано с переходом Frontol → 1С:Розница</x:v>
      </x:c>
      <x:c r="M16" s="1049" t="str">
        <x:v>Нет</x:v>
      </x:c>
      <x:c r="N16" s="1050" t="str">
        <x:v>SRC-20</x:v>
      </x:c>
      <x:c r="O16" s="1007"/>
      <x:c r="P16" s="1007"/>
      <x:c r="Q16" s="1007"/>
      <x:c r="R16" s="1007"/>
      <x:c r="S16" s="1007"/>
      <x:c r="T16" s="1007"/>
      <x:c r="U16" s="1007"/>
      <x:c r="V16" s="1007"/>
      <x:c r="W16" s="1007"/>
    </x:row>
    <x:row r="17" ht="79.19999694824219" hidden="0" customHeight="1">
      <x:c r="A17" s="949" t="n">
        <x:v>8</x:v>
      </x:c>
      <x:c r="B17" s="950" t="str">
        <x:v>СФ_ЗаполнениеДокументаПоступленияБДС</x:v>
      </x:c>
      <x:c r="C17" s="950" t="str">
        <x:v>Да</x:v>
      </x:c>
      <x:c r="D17" s="950" t="str">
        <x:v>Нет</x:v>
      </x:c>
      <x:c r="E17" s="950" t="str">
        <x:v>8.3.24</x:v>
      </x:c>
      <x:c r="F17" s="950" t="str">
        <x:v>В документ Поступление безналичных ДС перед записью заполняет Подразделение, Статью расходов, аналитика расходов, сумма комиссии по строке текста в назначении платежа. На типовое обновление не повлияет. В коде используются жёстко зашитые строки текста, при изменении текста в назначении или в наименовании. Не рекомендуется так писать.</x:v>
      </x:c>
      <x:c r="G17" s="950" t="str">
        <x:v>Средний</x:v>
      </x:c>
      <x:c r="H17" s="950" t="str">
        <x:v>Refactor</x:v>
      </x:c>
      <x:c r="I17" s="950" t="str">
        <x:v>Перенести условия в справочник/настройки; добавить тесты назначений платежа и владельца правил</x:v>
      </x:c>
      <x:c r="J17" s="950" t="str">
        <x:v>D-37,D-40</x:v>
      </x:c>
      <x:c r="K17" s="950" t="str">
        <x:v>Не отмечено</x:v>
      </x:c>
      <x:c r="L17" s="950" t="str">
        <x:v>Центральная УТ/финансовый контур</x:v>
      </x:c>
      <x:c r="M17" s="950" t="str">
        <x:v>Нет</x:v>
      </x:c>
      <x:c r="N17" s="951" t="str">
        <x:v>SRC-20</x:v>
      </x:c>
      <x:c r="O17" s="1007"/>
      <x:c r="P17" s="1007"/>
      <x:c r="Q17" s="1007"/>
      <x:c r="R17" s="1007"/>
      <x:c r="S17" s="1007"/>
      <x:c r="T17" s="1007"/>
      <x:c r="U17" s="1007"/>
      <x:c r="V17" s="1007"/>
      <x:c r="W17" s="1007"/>
    </x:row>
    <x:row r="18" ht="39.599998474121094" hidden="0" customHeight="1">
      <x:c r="A18" s="949" t="n">
        <x:v>9</x:v>
      </x:c>
      <x:c r="B18" s="950" t="str">
        <x:v>ПодборКодовМаркировкиСфера</x:v>
      </x:c>
      <x:c r="C18" s="950" t="str">
        <x:v>Да</x:v>
      </x:c>
      <x:c r="D18" s="950" t="str">
        <x:v>Нет</x:v>
      </x:c>
      <x:c r="E18" s="950" t="str">
        <x:v>Не используется</x:v>
      </x:c>
      <x:c r="F18" s="950" t="str">
        <x:v>Доработана общая форма ЗагрузкаКодовМаркировкиИС, доработана форма документа МаркировкаТоваровИСМП. Для чего, если ООО СНЭКС не маркирует?</x:v>
      </x:c>
      <x:c r="G18" s="950" t="str">
        <x:v>Средний</x:v>
      </x:c>
      <x:c r="H18" s="950" t="str">
        <x:v>Кандидат retire</x:v>
      </x:c>
      <x:c r="I18" s="950" t="str">
        <x:v>Подтвердить категории маркировки и фактическое использование; при отсутствии бизнеса вывести после проверки данных</x:v>
      </x:c>
      <x:c r="J18" s="950" t="str">
        <x:v>D-16,D-37</x:v>
      </x:c>
      <x:c r="K18" s="950" t="str">
        <x:v>Не отмечено</x:v>
      </x:c>
      <x:c r="L18" s="950" t="str">
        <x:v>Зависит от обязательной маркировки категорий</x:v>
      </x:c>
      <x:c r="M18" s="1047" t="str">
        <x:v>Да</x:v>
      </x:c>
      <x:c r="N18" s="951" t="str">
        <x:v>SRC-20</x:v>
      </x:c>
      <x:c r="O18" s="1007"/>
      <x:c r="P18" s="1007"/>
      <x:c r="Q18" s="1007"/>
      <x:c r="R18" s="1007"/>
      <x:c r="S18" s="1007"/>
      <x:c r="T18" s="1007"/>
      <x:c r="U18" s="1007"/>
      <x:c r="V18" s="1007"/>
      <x:c r="W18" s="1007"/>
    </x:row>
    <x:row r="19" ht="52.79999923706055" hidden="0" customHeight="1">
      <x:c r="A19" s="1051" t="n">
        <x:v>10</x:v>
      </x:c>
      <x:c r="B19" s="1052" t="str">
        <x:v>пр_НоменклатураРасширенныйПремиум</x:v>
      </x:c>
      <x:c r="C19" s="1052" t="str">
        <x:v>Да</x:v>
      </x:c>
      <x:c r="D19" s="1052" t="str">
        <x:v>Да</x:v>
      </x:c>
      <x:c r="E19" s="1052" t="str">
        <x:v>8.3.17</x:v>
      </x:c>
      <x:c r="F19" s="1052" t="str">
        <x:v>Изменены формы документов ЗаказКлиента, ЗаказПоставщику, РеализацияТоваровУслуг, ТранспортнаяНакладная и т.п. Добавлены новые обработки. Есть свои регистры сведений (могут потеряться данные при удалении расширения).</x:v>
      </x:c>
      <x:c r="G19" s="1052" t="str">
        <x:v>Критический</x:v>
      </x:c>
      <x:c r="H19" s="1052" t="str">
        <x:v>Audit / replace or controlled rewrite</x:v>
      </x:c>
      <x:c r="I19" s="1052" t="str">
        <x:v>Получить исходники и лицензии; инвентаризировать регистры; выполнить функциональную декомпозицию и миграцию данных; не переносить как black box</x:v>
      </x:c>
      <x:c r="J19" s="1052" t="str">
        <x:v>D-37,D-38,D-39,D-40</x:v>
      </x:c>
      <x:c r="K19" s="1052" t="str">
        <x:v>Да: регистры сведений</x:v>
      </x:c>
      <x:c r="L19" s="1052" t="str">
        <x:v>Критично для единой НСИ, заказов и документов центральной УТ</x:v>
      </x:c>
      <x:c r="M19" s="1052" t="str">
        <x:v>Нет</x:v>
      </x:c>
      <x:c r="N19" s="1053" t="str">
        <x:v>SRC-20</x:v>
      </x:c>
      <x:c r="O19" s="1007"/>
      <x:c r="P19" s="1007"/>
      <x:c r="Q19" s="1007"/>
      <x:c r="R19" s="1007"/>
      <x:c r="S19" s="1007"/>
      <x:c r="T19" s="1007"/>
      <x:c r="U19" s="1007"/>
      <x:c r="V19" s="1007"/>
      <x:c r="W19" s="1007"/>
    </x:row>
    <x:row r="20" ht="26.399999618530273" hidden="0" customHeight="1">
      <x:c r="A20" s="949" t="n">
        <x:v>11</x:v>
      </x:c>
      <x:c r="B20" s="950" t="str">
        <x:v>СФ_ДоработкиУчетаЗарплаты</x:v>
      </x:c>
      <x:c r="C20" s="950" t="str">
        <x:v>Да</x:v>
      </x:c>
      <x:c r="D20" s="950" t="str">
        <x:v>Нет</x:v>
      </x:c>
      <x:c r="E20" s="950" t="str">
        <x:v>Не используется</x:v>
      </x:c>
      <x:c r="F20" s="950" t="str">
        <x:v>Доработана печатная форма РасчетныйЛисток</x:v>
      </x:c>
      <x:c r="G20" s="950" t="str">
        <x:v>Низкий</x:v>
      </x:c>
      <x:c r="H20" s="950" t="str">
        <x:v>Кандидат retire / keep locally</x:v>
      </x:c>
      <x:c r="I20" s="950" t="str">
        <x:v>Подтвердить пользователей; не переносить в центральную торговую архитектуру без бизнес-основания</x:v>
      </x:c>
      <x:c r="J20" s="950" t="str">
        <x:v>D-37</x:v>
      </x:c>
      <x:c r="K20" s="950" t="str">
        <x:v>Не отмечено</x:v>
      </x:c>
      <x:c r="L20" s="950" t="str">
        <x:v>Не относится к розничной топологии напрямую</x:v>
      </x:c>
      <x:c r="M20" s="1047" t="str">
        <x:v>Да</x:v>
      </x:c>
      <x:c r="N20" s="951" t="str">
        <x:v>SRC-20</x:v>
      </x:c>
      <x:c r="O20" s="1007"/>
      <x:c r="P20" s="1007"/>
      <x:c r="Q20" s="1007"/>
      <x:c r="R20" s="1007"/>
      <x:c r="S20" s="1007"/>
      <x:c r="T20" s="1007"/>
      <x:c r="U20" s="1007"/>
      <x:c r="V20" s="1007"/>
      <x:c r="W20" s="1007"/>
    </x:row>
    <x:row r="21" ht="66" hidden="0" customHeight="1">
      <x:c r="A21" s="1048" t="n">
        <x:v>12</x:v>
      </x:c>
      <x:c r="B21" s="1049" t="str">
        <x:v>СФ_СинхронизацияДанныхСоСБИС</x:v>
      </x:c>
      <x:c r="C21" s="1049" t="str">
        <x:v>Да</x:v>
      </x:c>
      <x:c r="D21" s="1049" t="str">
        <x:v>Нет</x:v>
      </x:c>
      <x:c r="E21" s="1049" t="str">
        <x:v>Не используется</x:v>
      </x:c>
      <x:c r="F21" s="1049" t="str">
        <x:v>Доработан документ КассоваяСмена: добавлен новый реквизит сфсб_ПорядковыйНомерСменыВДне. Добавлены новые реквизиты на форму ФормаДокумента. Добавлен новый отчет и обработка. Добавлен новый регистр сведений сфсб_ЗагружаемыеДанныеСБИС (могут потеряться данные при удалении расширения).</x:v>
      </x:c>
      <x:c r="G21" s="1049" t="str">
        <x:v>Высокий</x:v>
      </x:c>
      <x:c r="H21" s="1049" t="str">
        <x:v>Analyze / migrate data</x:v>
      </x:c>
      <x:c r="I21" s="1049" t="str">
        <x:v>Проверить фактическую интеграцию СБИС, регистр и реквизиты кассовой смены; определить место в целевой Рознице</x:v>
      </x:c>
      <x:c r="J21" s="1049" t="str">
        <x:v>D-33,D-37,D-39,D-40</x:v>
      </x:c>
      <x:c r="K21" s="1049" t="str">
        <x:v>Да: реквизиты и регистр</x:v>
      </x:c>
      <x:c r="L21" s="1049" t="str">
        <x:v>Может затрагивать кассовые смены и узлы Розницы</x:v>
      </x:c>
      <x:c r="M21" s="1049" t="str">
        <x:v>Нет</x:v>
      </x:c>
      <x:c r="N21" s="1050" t="str">
        <x:v>SRC-20</x:v>
      </x:c>
      <x:c r="O21" s="1007"/>
      <x:c r="P21" s="1007"/>
      <x:c r="Q21" s="1007"/>
      <x:c r="R21" s="1007"/>
      <x:c r="S21" s="1007"/>
      <x:c r="T21" s="1007"/>
      <x:c r="U21" s="1007"/>
      <x:c r="V21" s="1007"/>
      <x:c r="W21" s="1007"/>
    </x:row>
    <x:row r="22" ht="26.399999618530273" hidden="0" customHeight="1">
      <x:c r="A22" s="949" t="n">
        <x:v>13</x:v>
      </x:c>
      <x:c r="B22" s="950" t="str">
        <x:v>ИсправлениеОшибок</x:v>
      </x:c>
      <x:c r="C22" s="950" t="str">
        <x:v>Да</x:v>
      </x:c>
      <x:c r="D22" s="950" t="str">
        <x:v>Нет</x:v>
      </x:c>
      <x:c r="E22" s="950" t="str">
        <x:v>Не используется</x:v>
      </x:c>
      <x:c r="F22" s="950" t="str">
        <x:v>Есть исправление одной ошибки при создании ключа аналитики по партнерам</x:v>
      </x:c>
      <x:c r="G22" s="950" t="str">
        <x:v>Низкий</x:v>
      </x:c>
      <x:c r="H22" s="950" t="str">
        <x:v>Retire после проверки релиза</x:v>
      </x:c>
      <x:c r="I22" s="950" t="str">
        <x:v>Проверить, исправлена ли ошибка в целевой версии; добавить regression test и удалить только после подтверждения</x:v>
      </x:c>
      <x:c r="J22" s="950" t="str">
        <x:v>D-37,D-40</x:v>
      </x:c>
      <x:c r="K22" s="950" t="str">
        <x:v>Не отмечено</x:v>
      </x:c>
      <x:c r="L22" s="950" t="str">
        <x:v>Центральная УТ / партнёры</x:v>
      </x:c>
      <x:c r="M22" s="950" t="str">
        <x:v>Нет</x:v>
      </x:c>
      <x:c r="N22" s="951" t="str">
        <x:v>SRC-20</x:v>
      </x:c>
      <x:c r="O22" s="1007"/>
      <x:c r="P22" s="1007"/>
      <x:c r="Q22" s="1007"/>
      <x:c r="R22" s="1007"/>
      <x:c r="S22" s="1007"/>
      <x:c r="T22" s="1007"/>
      <x:c r="U22" s="1007"/>
      <x:c r="V22" s="1007"/>
      <x:c r="W22" s="1007"/>
    </x:row>
    <x:row r="23" ht="79.19999694824219" hidden="0" customHeight="1">
      <x:c r="A23" s="1054" t="n">
        <x:v>14</x:v>
      </x:c>
      <x:c r="B23" s="1055" t="str">
        <x:v>ПомощникЗакупок</x:v>
      </x:c>
      <x:c r="C23" s="1055" t="str">
        <x:v>Да</x:v>
      </x:c>
      <x:c r="D23" s="1055" t="str">
        <x:v>Да</x:v>
      </x:c>
      <x:c r="E23" s="1055" t="str">
        <x:v>8.3.12</x:v>
      </x:c>
      <x:c r="F23" s="1055" t="str">
        <x:v>Весь код написан не по стандартам 1С, весь код выглядит, как выгруженный из какой-то системы. В справочник номенклатура добавлено много реквизитов. Добавлен свои справочники. Добавлены свои документы. Добавлен отчеты и обработки. Добавлен регистры сведений. Доработки из разряда, которые не хочется разбирать, что там и как работает.</x:v>
      </x:c>
      <x:c r="G23" s="1055" t="str">
        <x:v>Критический</x:v>
      </x:c>
      <x:c r="H23" s="1055" t="str">
        <x:v>Функционально разложить и заменить</x:v>
      </x:c>
      <x:c r="I23" s="1055" t="str">
        <x:v>Не переносить as-is. Получить исходники, инвентаризировать данные и функции, сопоставить с новым контуром заказа, поэтапно заменить standard/target-компонентами</x:v>
      </x:c>
      <x:c r="J23" s="1055" t="str">
        <x:v>D-20,D-31,D-37,D-38,D-39,D-40</x:v>
      </x:c>
      <x:c r="K23" s="1055" t="str">
        <x:v>Да: реквизиты, справочники, документы, регистры</x:v>
      </x:c>
      <x:c r="L23" s="1055" t="str">
        <x:v>Пересекается с проектом централизованного заказа в центральной УТ</x:v>
      </x:c>
      <x:c r="M23" s="1055" t="str">
        <x:v>Нет</x:v>
      </x:c>
      <x:c r="N23" s="1056" t="str">
        <x:v>SRC-20</x:v>
      </x:c>
      <x:c r="O23" s="1007"/>
      <x:c r="P23" s="1007"/>
      <x:c r="Q23" s="1007"/>
      <x:c r="R23" s="1007"/>
      <x:c r="S23" s="1007"/>
      <x:c r="T23" s="1007"/>
      <x:c r="U23" s="1007"/>
      <x:c r="V23" s="1007"/>
      <x:c r="W23" s="1007"/>
    </x:row>
    <x:row r="24" ht="15" hidden="0" customHeight="1">
      <x:c r="A24" s="1007"/>
      <x:c r="B24" s="1007"/>
      <x:c r="C24" s="1007"/>
      <x:c r="D24" s="1007"/>
      <x:c r="E24" s="1007"/>
      <x:c r="F24" s="1007"/>
      <x:c r="G24" s="1007"/>
      <x:c r="H24" s="1007"/>
      <x:c r="I24" s="1007"/>
      <x:c r="J24" s="1007"/>
      <x:c r="K24" s="1007"/>
      <x:c r="L24" s="1007"/>
      <x:c r="M24" s="1007"/>
      <x:c r="N24" s="1007"/>
      <x:c r="O24" s="1007"/>
      <x:c r="P24" s="1007"/>
      <x:c r="Q24" s="1007"/>
      <x:c r="R24" s="1007"/>
      <x:c r="S24" s="1007"/>
      <x:c r="T24" s="1007"/>
      <x:c r="U24" s="1007"/>
      <x:c r="V24" s="1007"/>
      <x:c r="W24" s="1007"/>
    </x:row>
    <x:row r="25" ht="15" hidden="0" customHeight="1">
      <x:c r="A25" s="867" t="str">
        <x:v>Ключевые выводы</x:v>
      </x:c>
      <x:c r="B25" s="867"/>
      <x:c r="C25" s="867"/>
      <x:c r="D25" s="867"/>
      <x:c r="E25" s="867"/>
      <x:c r="F25" s="867"/>
      <x:c r="G25" s="867"/>
      <x:c r="H25" s="867"/>
      <x:c r="I25" s="867"/>
      <x:c r="J25" s="867"/>
      <x:c r="K25" s="867"/>
      <x:c r="L25" s="867"/>
      <x:c r="M25" s="867"/>
      <x:c r="N25" s="867"/>
      <x:c r="O25" s="1007"/>
      <x:c r="P25" s="1007"/>
      <x:c r="Q25" s="1007"/>
      <x:c r="R25" s="1007"/>
      <x:c r="S25" s="1007"/>
      <x:c r="T25" s="1007"/>
      <x:c r="U25" s="1007"/>
      <x:c r="V25" s="1007"/>
      <x:c r="W25" s="1007"/>
    </x:row>
    <x:row r="26" ht="15" hidden="0" customHeight="1">
      <x:c r="A26" s="891" t="str">
        <x:v>1.</x:v>
      </x:c>
      <x:c r="B26" s="893" t="str">
        <x:v>Не отключать расширения только по признаку «не используется»: сначала подтвердить данные, движения, регистры и владельца.</x:v>
      </x:c>
      <x:c r="C26" s="1007"/>
      <x:c r="D26" s="1007"/>
      <x:c r="E26" s="1007"/>
      <x:c r="F26" s="1007"/>
      <x:c r="G26" s="1007"/>
      <x:c r="H26" s="1007"/>
      <x:c r="I26" s="1007"/>
      <x:c r="J26" s="1007"/>
      <x:c r="K26" s="1007"/>
      <x:c r="L26" s="1007"/>
      <x:c r="M26" s="1007"/>
      <x:c r="N26" s="1007"/>
      <x:c r="O26" s="1007"/>
      <x:c r="P26" s="1007"/>
      <x:c r="Q26" s="1007"/>
      <x:c r="R26" s="1007"/>
      <x:c r="S26" s="1007"/>
      <x:c r="T26" s="1007"/>
      <x:c r="U26" s="1007"/>
      <x:c r="V26" s="1007"/>
      <x:c r="W26" s="1007"/>
    </x:row>
    <x:row r="27" ht="15" hidden="0" customHeight="1">
      <x:c r="A27" s="949" t="str">
        <x:v>2.</x:v>
      </x:c>
      <x:c r="B27" s="951" t="str">
        <x:v>Закрытый код отмечен у ХЛ_PNL, пр_НоменклатураРасширенныйПремиум и ПомощникЗакупок; требуется решение D-38.</x:v>
      </x:c>
      <x:c r="C27" s="1007"/>
      <x:c r="D27" s="1007"/>
      <x:c r="E27" s="1007"/>
      <x:c r="F27" s="1007"/>
      <x:c r="G27" s="1007"/>
      <x:c r="H27" s="1007"/>
      <x:c r="I27" s="1007"/>
      <x:c r="J27" s="1007"/>
      <x:c r="K27" s="1007"/>
      <x:c r="L27" s="1007"/>
      <x:c r="M27" s="1007"/>
      <x:c r="N27" s="1007"/>
      <x:c r="O27" s="1007"/>
      <x:c r="P27" s="1007"/>
      <x:c r="Q27" s="1007"/>
      <x:c r="R27" s="1007"/>
      <x:c r="S27" s="1007"/>
      <x:c r="T27" s="1007"/>
      <x:c r="U27" s="1007"/>
      <x:c r="V27" s="1007"/>
      <x:c r="W27" s="1007"/>
    </x:row>
    <x:row r="28" ht="15" hidden="0" customHeight="1">
      <x:c r="A28" s="949" t="str">
        <x:v>3.</x:v>
      </x:c>
      <x:c r="B28" s="951" t="str">
        <x:v>Наибольший риск потери данных связан с ДоработкаИмпорта, офлайн-оборудованием, Premium, СБИС и ПомощникомЗакупок.</x:v>
      </x:c>
      <x:c r="C28" s="1007"/>
      <x:c r="D28" s="1007"/>
      <x:c r="E28" s="1007"/>
      <x:c r="F28" s="1007"/>
      <x:c r="G28" s="1007"/>
      <x:c r="H28" s="1007"/>
      <x:c r="I28" s="1007"/>
      <x:c r="J28" s="1007"/>
      <x:c r="K28" s="1007"/>
      <x:c r="L28" s="1007"/>
      <x:c r="M28" s="1007"/>
      <x:c r="N28" s="1007"/>
      <x:c r="O28" s="1007"/>
      <x:c r="P28" s="1007"/>
      <x:c r="Q28" s="1007"/>
      <x:c r="R28" s="1007"/>
      <x:c r="S28" s="1007"/>
      <x:c r="T28" s="1007"/>
      <x:c r="U28" s="1007"/>
      <x:c r="V28" s="1007"/>
      <x:c r="W28" s="1007"/>
    </x:row>
    <x:row r="29" ht="15" hidden="0" customHeight="1">
      <x:c r="A29" s="949" t="str">
        <x:v>4.</x:v>
      </x:c>
      <x:c r="B29" s="951" t="str">
        <x:v>ПомощникЗакупок функционально пересекается с новым проектом заказа и не должен переноситься как непрозрачный black box.</x:v>
      </x:c>
      <x:c r="C29" s="1007"/>
      <x:c r="D29" s="1007"/>
      <x:c r="E29" s="1007"/>
      <x:c r="F29" s="1007"/>
      <x:c r="G29" s="1007"/>
      <x:c r="H29" s="1007"/>
      <x:c r="I29" s="1007"/>
      <x:c r="J29" s="1007"/>
      <x:c r="K29" s="1007"/>
      <x:c r="L29" s="1007"/>
      <x:c r="M29" s="1007"/>
      <x:c r="N29" s="1007"/>
      <x:c r="O29" s="1007"/>
      <x:c r="P29" s="1007"/>
      <x:c r="Q29" s="1007"/>
      <x:c r="R29" s="1007"/>
      <x:c r="S29" s="1007"/>
      <x:c r="T29" s="1007"/>
      <x:c r="U29" s="1007"/>
      <x:c r="V29" s="1007"/>
      <x:c r="W29" s="1007"/>
    </x:row>
    <x:row r="30" ht="15" hidden="0" customHeight="1">
      <x:c r="A30" s="831" t="str">
        <x:v>5.</x:v>
      </x:c>
      <x:c r="B30" s="833" t="str">
        <x:v>Смысл жёлтой заливки в исходнике не указан; в этом листе она сохранена как факт оформления, без интерпретации.</x:v>
      </x:c>
      <x:c r="C30" s="1007"/>
      <x:c r="D30" s="1007"/>
      <x:c r="E30" s="1007"/>
      <x:c r="F30" s="1007"/>
      <x:c r="G30" s="1007"/>
      <x:c r="H30" s="1007"/>
      <x:c r="I30" s="1007"/>
      <x:c r="J30" s="1007"/>
      <x:c r="K30" s="1007"/>
      <x:c r="L30" s="1007"/>
      <x:c r="M30" s="1007"/>
      <x:c r="N30" s="1007"/>
      <x:c r="O30" s="1007"/>
      <x:c r="P30" s="1007"/>
      <x:c r="Q30" s="1007"/>
      <x:c r="R30" s="1007"/>
      <x:c r="S30" s="1007"/>
      <x:c r="T30" s="1007"/>
      <x:c r="U30" s="1007"/>
      <x:c r="V30" s="1007"/>
      <x:c r="W30" s="1007"/>
    </x:row>
    <x:row r="31" ht="15" hidden="0" customHeight="1">
      <x:c r="A31" s="1007"/>
      <x:c r="B31" s="1007"/>
      <x:c r="C31" s="1007"/>
      <x:c r="D31" s="1007"/>
      <x:c r="E31" s="1007"/>
      <x:c r="F31" s="1007"/>
      <x:c r="G31" s="1007"/>
      <x:c r="H31" s="1007"/>
      <x:c r="I31" s="1007"/>
      <x:c r="J31" s="1007"/>
      <x:c r="K31" s="1007"/>
      <x:c r="L31" s="1007"/>
      <x:c r="M31" s="1007"/>
      <x:c r="N31" s="1007"/>
      <x:c r="O31" s="1007"/>
      <x:c r="P31" s="1007"/>
      <x:c r="Q31" s="1007"/>
      <x:c r="R31" s="1007"/>
      <x:c r="S31" s="1007"/>
      <x:c r="T31" s="1007"/>
      <x:c r="U31" s="1007"/>
      <x:c r="V31" s="1007"/>
      <x:c r="W31" s="1007"/>
    </x:row>
    <x:row r="32" ht="15" hidden="0" customHeight="1">
      <x:c r="A32" s="1007"/>
      <x:c r="B32" s="1007"/>
      <x:c r="C32" s="1007"/>
      <x:c r="D32" s="1007"/>
      <x:c r="E32" s="1007"/>
      <x:c r="F32" s="1007"/>
      <x:c r="G32" s="1007"/>
      <x:c r="H32" s="1007"/>
      <x:c r="I32" s="1007"/>
      <x:c r="J32" s="1007"/>
      <x:c r="K32" s="1007"/>
      <x:c r="L32" s="1007"/>
      <x:c r="M32" s="1007"/>
      <x:c r="N32" s="1007"/>
      <x:c r="O32" s="1007"/>
      <x:c r="P32" s="1007"/>
      <x:c r="Q32" s="1007"/>
      <x:c r="R32" s="1007"/>
      <x:c r="S32" s="1007"/>
      <x:c r="T32" s="1007"/>
      <x:c r="U32" s="1007"/>
      <x:c r="V32" s="1007"/>
      <x:c r="W32" s="1007"/>
    </x:row>
    <x:row r="33" ht="15" hidden="0" customHeight="1">
      <x:c r="A33" s="1007"/>
      <x:c r="B33" s="1007"/>
      <x:c r="C33" s="1007"/>
      <x:c r="D33" s="1007"/>
      <x:c r="E33" s="1007"/>
      <x:c r="F33" s="1007"/>
      <x:c r="G33" s="1007"/>
      <x:c r="H33" s="1007"/>
      <x:c r="I33" s="1007"/>
      <x:c r="J33" s="1007"/>
      <x:c r="K33" s="1007"/>
      <x:c r="L33" s="1007"/>
      <x:c r="M33" s="1007"/>
      <x:c r="N33" s="1007"/>
      <x:c r="O33" s="1007"/>
      <x:c r="P33" s="1007"/>
      <x:c r="Q33" s="1007"/>
      <x:c r="R33" s="1007"/>
      <x:c r="S33" s="1007"/>
      <x:c r="T33" s="1007"/>
      <x:c r="U33" s="1007"/>
      <x:c r="V33" s="1007"/>
      <x:c r="W33" s="1007"/>
    </x:row>
    <x:row r="34" ht="15" hidden="0" customHeight="1">
      <x:c r="A34" s="1007"/>
      <x:c r="B34" s="1007"/>
      <x:c r="C34" s="1007"/>
      <x:c r="D34" s="1007"/>
      <x:c r="E34" s="1007"/>
      <x:c r="F34" s="1007"/>
      <x:c r="G34" s="1007"/>
      <x:c r="H34" s="1007"/>
      <x:c r="I34" s="1007"/>
      <x:c r="J34" s="1007"/>
      <x:c r="K34" s="1007"/>
      <x:c r="L34" s="1007"/>
      <x:c r="M34" s="1007"/>
      <x:c r="N34" s="1007"/>
      <x:c r="O34" s="1007"/>
      <x:c r="P34" s="1007"/>
      <x:c r="Q34" s="1007"/>
      <x:c r="R34" s="1007"/>
      <x:c r="S34" s="1007"/>
      <x:c r="T34" s="1007"/>
      <x:c r="U34" s="1007"/>
      <x:c r="V34" s="1007"/>
      <x:c r="W34" s="1007"/>
    </x:row>
    <x:row r="35" ht="15" hidden="0" customHeight="1">
      <x:c r="A35" s="1007"/>
      <x:c r="B35" s="1007"/>
      <x:c r="C35" s="1007"/>
      <x:c r="D35" s="1007"/>
      <x:c r="E35" s="1007"/>
      <x:c r="F35" s="1007"/>
      <x:c r="G35" s="1007"/>
      <x:c r="H35" s="1007"/>
      <x:c r="I35" s="1007"/>
      <x:c r="J35" s="1007"/>
      <x:c r="K35" s="1007"/>
      <x:c r="L35" s="1007"/>
      <x:c r="M35" s="1007"/>
      <x:c r="N35" s="1007"/>
      <x:c r="O35" s="1007"/>
      <x:c r="P35" s="1007"/>
      <x:c r="Q35" s="1007"/>
      <x:c r="R35" s="1007"/>
      <x:c r="S35" s="1007"/>
      <x:c r="T35" s="1007"/>
      <x:c r="U35" s="1007"/>
      <x:c r="V35" s="1007"/>
      <x:c r="W35" s="1007"/>
    </x:row>
  </x:sheetData>
  <x:mergeCells>
    <x:mergeCell ref="A1:N1"/>
    <x:mergeCell ref="A2:N2"/>
    <x:mergeCell ref="A7:N7"/>
    <x:mergeCell ref="A25:N25"/>
    <x:mergeCell ref="B26:N26"/>
    <x:mergeCell ref="B27:N27"/>
    <x:mergeCell ref="B28:N28"/>
    <x:mergeCell ref="B29:N29"/>
    <x:mergeCell ref="B30:N30"/>
  </x:mergeCells>
  <x:pageMargins left="0.7" right="0.7" top="0.75" bottom="0.75" header="0.3" footer="0.3"/>
  <x:drawing xmlns:r="http://schemas.openxmlformats.org/officeDocument/2006/relationships" r:id="R9c79fffd770243c1"/>
  <x:tableParts count="1">
    <x:tablePart xmlns:r="http://schemas.openxmlformats.org/officeDocument/2006/relationships" r:id="R2c3ca521dbc2456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4" hidden="0" customWidth="1"/>
    <x:col min="4" max="4" width="42" hidden="0" customWidth="1"/>
    <x:col min="5" max="5" width="36" hidden="0" customWidth="1"/>
    <x:col min="6" max="6" width="12" hidden="0" customWidth="1"/>
    <x:col min="7" max="7" width="2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15" hidden="0" customHeight="1">
      <x:c r="A1" s="1036" t="str">
        <x:v>Архитектура «Форус» — точная расшифровка и план включения в проект SNAX</x:v>
      </x:c>
      <x:c r="B1" s="1036"/>
      <x:c r="C1" s="1036"/>
      <x:c r="D1" s="1036"/>
      <x:c r="E1" s="1036"/>
      <x:c r="F1" s="1036"/>
      <x:c r="G1" s="1036"/>
      <x:c r="H1" s="1036"/>
      <x:c r="I1" s="1036"/>
      <x:c r="J1" s="1036"/>
      <x:c r="K1" s="1036"/>
      <x:c r="L1" s="1036"/>
    </x:row>
    <x:row r="2" ht="15" hidden="0" customHeight="1">
      <x:c r="A2" s="867" t="str">
        <x:v>Факты ниже взяты из презентации от 21.08.2026. Отдельно обозначена проектная интерпретация, как специализированный сервис импорта/нормализации должен встраиваться в эту корпоративную топологию.</x:v>
      </x:c>
      <x:c r="B2" s="867"/>
      <x:c r="C2" s="867"/>
      <x:c r="D2" s="867"/>
      <x:c r="E2" s="867"/>
      <x:c r="F2" s="867"/>
      <x:c r="G2" s="867"/>
      <x:c r="H2" s="867"/>
      <x:c r="I2" s="867"/>
      <x:c r="J2" s="867"/>
      <x:c r="K2" s="867"/>
      <x:c r="L2" s="867"/>
    </x:row>
    <x:row r="3" ht="15" hidden="0" customHeight="1">
      <x:c r="A3" s="1007"/>
      <x:c r="B3" s="1007"/>
      <x:c r="C3" s="1007"/>
      <x:c r="D3" s="1007"/>
      <x:c r="E3" s="1007"/>
      <x:c r="F3" s="1007"/>
      <x:c r="G3" s="1007"/>
      <x:c r="H3" s="1007"/>
      <x:c r="I3" s="1007"/>
      <x:c r="J3" s="1007"/>
      <x:c r="K3" s="1007"/>
      <x:c r="L3" s="1007"/>
    </x:row>
    <x:row r="4" ht="15" hidden="0" customHeight="1">
      <x:c r="A4" s="867" t="str">
        <x:v>A. Состав презентации</x:v>
      </x:c>
      <x:c r="B4" s="867"/>
      <x:c r="C4" s="867"/>
      <x:c r="D4" s="867"/>
      <x:c r="E4" s="867"/>
      <x:c r="F4" s="867"/>
      <x:c r="G4" s="867"/>
      <x:c r="H4" s="867"/>
      <x:c r="I4" s="867"/>
      <x:c r="J4" s="867"/>
      <x:c r="K4" s="867"/>
      <x:c r="L4" s="867"/>
    </x:row>
    <x:row r="5" ht="15" hidden="0" customHeight="1">
      <x:c r="A5" s="875" t="str">
        <x:v>Слайд</x:v>
      </x:c>
      <x:c r="B5" s="876" t="str">
        <x:v>Заголовок</x:v>
      </x:c>
      <x:c r="C5" s="876" t="str">
        <x:v>Содержание</x:v>
      </x:c>
      <x:c r="D5" s="877" t="str">
        <x:v>Использование в проекте</x:v>
      </x:c>
      <x:c r="E5" s="1007"/>
      <x:c r="F5" s="1007"/>
      <x:c r="G5" s="1007"/>
      <x:c r="H5" s="1007"/>
      <x:c r="I5" s="1007"/>
      <x:c r="J5" s="1007"/>
      <x:c r="K5" s="1007"/>
      <x:c r="L5" s="1007"/>
    </x:row>
    <x:row r="6" ht="26.399999618530273" hidden="0" customHeight="1">
      <x:c r="A6" s="891" t="n">
        <x:v>1</x:v>
      </x:c>
      <x:c r="B6" s="892" t="str">
        <x:v>Архитектура информационной системы SNAX</x:v>
      </x:c>
      <x:c r="C6" s="892" t="str">
        <x:v>Титульный слайд; архитектор Владимир Могиленко, Форус</x:v>
      </x:c>
      <x:c r="D6" s="893" t="str">
        <x:v>Источник архитектурного baseline</x:v>
      </x:c>
      <x:c r="E6" s="1007"/>
      <x:c r="F6" s="1007"/>
      <x:c r="G6" s="1007"/>
      <x:c r="H6" s="1007"/>
      <x:c r="I6" s="1007"/>
      <x:c r="J6" s="1007"/>
      <x:c r="K6" s="1007"/>
      <x:c r="L6" s="1007"/>
    </x:row>
    <x:row r="7" ht="39.599998474121094" hidden="0" customHeight="1">
      <x:c r="A7" s="949" t="n">
        <x:v>2</x:v>
      </x:c>
      <x:c r="B7" s="950" t="str">
        <x:v>Старая архитектура</x:v>
      </x:c>
      <x:c r="C7" s="950" t="str">
        <x:v>Два независимых контура СНЭКС / СНЭКС СИБИРЬ, УТ, БП, магазины и Frontol</x:v>
      </x:c>
      <x:c r="D7" s="951" t="str">
        <x:v>Фиксация AS-IS и причин децентрализации</x:v>
      </x:c>
      <x:c r="E7" s="1007"/>
      <x:c r="F7" s="1007"/>
      <x:c r="G7" s="1007"/>
      <x:c r="H7" s="1007"/>
      <x:c r="I7" s="1007"/>
      <x:c r="J7" s="1007"/>
      <x:c r="K7" s="1007"/>
      <x:c r="L7" s="1007"/>
    </x:row>
    <x:row r="8" ht="52.79999923706055" hidden="0" customHeight="1">
      <x:c r="A8" s="949" t="n">
        <x:v>3</x:v>
      </x:c>
      <x:c r="B8" s="950" t="str">
        <x:v>Целевая архитектура</x:v>
      </x:c>
      <x:c r="C8" s="950" t="str">
        <x:v>Единая УТ 11, две БП, центральная Розница, региональные и франчайзинговые узлы</x:v>
      </x:c>
      <x:c r="D8" s="951" t="str">
        <x:v>Основная target topology</x:v>
      </x:c>
      <x:c r="E8" s="1007"/>
      <x:c r="F8" s="1007"/>
      <x:c r="G8" s="1007"/>
      <x:c r="H8" s="1007"/>
      <x:c r="I8" s="1007"/>
      <x:c r="J8" s="1007"/>
      <x:c r="K8" s="1007"/>
      <x:c r="L8" s="1007"/>
    </x:row>
    <x:row r="9" ht="39.599998474121094" hidden="0" customHeight="1">
      <x:c r="A9" s="949" t="n">
        <x:v>4</x:v>
      </x:c>
      <x:c r="B9" s="950" t="str">
        <x:v>Сравнение архитектур</x:v>
      </x:c>
      <x:c r="C9" s="950" t="str">
        <x:v>Автономность магазинов, обновления, НСИ, цены/скидки, доработки</x:v>
      </x:c>
      <x:c r="D9" s="951" t="str">
        <x:v>Требования ARC-003…006</x:v>
      </x:c>
      <x:c r="E9" s="1007"/>
      <x:c r="F9" s="1007"/>
      <x:c r="G9" s="1007"/>
      <x:c r="H9" s="1007"/>
      <x:c r="I9" s="1007"/>
      <x:c r="J9" s="1007"/>
      <x:c r="K9" s="1007"/>
      <x:c r="L9" s="1007"/>
    </x:row>
    <x:row r="10" ht="39.599998474121094" hidden="0" customHeight="1">
      <x:c r="A10" s="949" t="n">
        <x:v>5</x:v>
      </x:c>
      <x:c r="B10" s="950" t="str">
        <x:v>Сравнение — продолжение</x:v>
      </x:c>
      <x:c r="C10" s="950" t="str">
        <x:v>Права, отчётность, запасы, себестоимость и мониторинг обменов</x:v>
      </x:c>
      <x:c r="D10" s="951" t="str">
        <x:v>Требования ARC-007…010</x:v>
      </x:c>
      <x:c r="E10" s="1007"/>
      <x:c r="F10" s="1007"/>
      <x:c r="G10" s="1007"/>
      <x:c r="H10" s="1007"/>
      <x:c r="I10" s="1007"/>
      <x:c r="J10" s="1007"/>
      <x:c r="K10" s="1007"/>
      <x:c r="L10" s="1007"/>
    </x:row>
    <x:row r="11" ht="15" hidden="0" customHeight="1">
      <x:c r="A11" s="831" t="n">
        <x:v>6</x:v>
      </x:c>
      <x:c r="B11" s="832" t="str">
        <x:v>Благодарю за внимание</x:v>
      </x:c>
      <x:c r="C11" s="832" t="str">
        <x:v>Закрывающий слайд</x:v>
      </x:c>
      <x:c r="D11" s="833" t="str">
        <x:v>Содержательных требований нет</x:v>
      </x:c>
      <x:c r="E11" s="1007"/>
      <x:c r="F11" s="1007"/>
      <x:c r="G11" s="1007"/>
      <x:c r="H11" s="1007"/>
      <x:c r="I11" s="1007"/>
      <x:c r="J11" s="1007"/>
      <x:c r="K11" s="1007"/>
      <x:c r="L11" s="1007"/>
    </x:row>
    <x:row r="12" ht="15" hidden="0" customHeight="1">
      <x:c r="A12" s="1007"/>
      <x:c r="B12" s="1007"/>
      <x:c r="C12" s="1007"/>
      <x:c r="D12" s="1007"/>
      <x:c r="E12" s="1007"/>
      <x:c r="F12" s="1007"/>
      <x:c r="G12" s="1007"/>
      <x:c r="H12" s="1007"/>
      <x:c r="I12" s="1007"/>
      <x:c r="J12" s="1007"/>
      <x:c r="K12" s="1007"/>
      <x:c r="L12" s="1007"/>
    </x:row>
    <x:row r="13" ht="15" hidden="0" customHeight="1">
      <x:c r="A13" s="867" t="str">
        <x:v>B. Целевая топология — компоненты и потоки</x:v>
      </x:c>
      <x:c r="B13" s="867"/>
      <x:c r="C13" s="867"/>
      <x:c r="D13" s="867"/>
      <x:c r="E13" s="867"/>
      <x:c r="F13" s="867"/>
      <x:c r="G13" s="867"/>
      <x:c r="H13" s="867"/>
      <x:c r="I13" s="867"/>
      <x:c r="J13" s="867"/>
      <x:c r="K13" s="867"/>
      <x:c r="L13" s="867"/>
    </x:row>
    <x:row r="14" ht="15" hidden="0" customHeight="1">
      <x:c r="A14" s="875" t="str">
        <x:v>Уровень</x:v>
      </x:c>
      <x:c r="B14" s="876" t="str">
        <x:v>Компонент</x:v>
      </x:c>
      <x:c r="C14" s="876" t="str">
        <x:v>Владелец / роль</x:v>
      </x:c>
      <x:c r="D14" s="876" t="str">
        <x:v>Основной поток</x:v>
      </x:c>
      <x:c r="E14" s="877" t="str">
        <x:v>Контроль</x:v>
      </x:c>
      <x:c r="F14" s="1007"/>
      <x:c r="G14" s="1007"/>
      <x:c r="H14" s="1007"/>
      <x:c r="I14" s="1007"/>
      <x:c r="J14" s="1007"/>
      <x:c r="K14" s="1007"/>
      <x:c r="L14" s="1007"/>
    </x:row>
    <x:row r="15" ht="26.399999618530273" hidden="0" customHeight="1">
      <x:c r="A15" s="891" t="str">
        <x:v>УК СНЭКС</x:v>
      </x:c>
      <x:c r="B15" s="892" t="str">
        <x:v>1С:УТ 11</x:v>
      </x:c>
      <x:c r="C15" s="892" t="str">
        <x:v>Владелец 1С / НСИ / закупки / финансы</x:v>
      </x:c>
      <x:c r="D15" s="892" t="str">
        <x:v>УТ ↔ Центральная Розница; УТ → две БП</x:v>
      </x:c>
      <x:c r="E15" s="893" t="str">
        <x:v>Master data, себестоимость, заказы, контроль выгрузки</x:v>
      </x:c>
      <x:c r="F15" s="1007"/>
      <x:c r="G15" s="1007"/>
      <x:c r="H15" s="1007"/>
      <x:c r="I15" s="1007"/>
      <x:c r="J15" s="1007"/>
      <x:c r="K15" s="1007"/>
      <x:c r="L15" s="1007"/>
    </x:row>
    <x:row r="16" ht="26.399999618530273" hidden="0" customHeight="1">
      <x:c r="A16" s="949" t="str">
        <x:v>УК СНЭКС</x:v>
      </x:c>
      <x:c r="B16" s="950" t="str">
        <x:v>БП СНЭКС</x:v>
      </x:c>
      <x:c r="C16" s="950" t="str">
        <x:v>Главный бухгалтер / финансы</x:v>
      </x:c>
      <x:c r="D16" s="950" t="str">
        <x:v>Получение данных из УТ</x:v>
      </x:c>
      <x:c r="E16" s="951" t="str">
        <x:v>Контрольные суммы, период, непроведённые документы</x:v>
      </x:c>
      <x:c r="F16" s="1007"/>
      <x:c r="G16" s="1007"/>
      <x:c r="H16" s="1007"/>
      <x:c r="I16" s="1007"/>
      <x:c r="J16" s="1007"/>
      <x:c r="K16" s="1007"/>
      <x:c r="L16" s="1007"/>
    </x:row>
    <x:row r="17" ht="15" hidden="0" customHeight="1">
      <x:c r="A17" s="949" t="str">
        <x:v>УК СНЭКС</x:v>
      </x:c>
      <x:c r="B17" s="950" t="str">
        <x:v>БП СНЭКС СИБИРЬ</x:v>
      </x:c>
      <x:c r="C17" s="950" t="str">
        <x:v>Главный бухгалтер / финансы</x:v>
      </x:c>
      <x:c r="D17" s="950" t="str">
        <x:v>Получение данных из УТ</x:v>
      </x:c>
      <x:c r="E17" s="951" t="str">
        <x:v>Отдельная сверка юридического контура</x:v>
      </x:c>
      <x:c r="F17" s="1007"/>
      <x:c r="G17" s="1007"/>
      <x:c r="H17" s="1007"/>
      <x:c r="I17" s="1007"/>
      <x:c r="J17" s="1007"/>
      <x:c r="K17" s="1007"/>
      <x:c r="L17" s="1007"/>
    </x:row>
    <x:row r="18" ht="15" hidden="0" customHeight="1">
      <x:c r="A18" s="949" t="str">
        <x:v>УК СНЭКС</x:v>
      </x:c>
      <x:c r="B18" s="950" t="str">
        <x:v>Центральная 1С:Розница</x:v>
      </x:c>
      <x:c r="C18" s="950" t="str">
        <x:v>Розничный ИТ-владелец</x:v>
      </x:c>
      <x:c r="D18" s="950" t="str">
        <x:v>УТ ↔ Центральная Розница ↔ региональные узлы</x:v>
      </x:c>
      <x:c r="E18" s="951" t="str">
        <x:v>Центральные настройки, НСИ, цены, права</x:v>
      </x:c>
      <x:c r="F18" s="1007"/>
      <x:c r="G18" s="1007"/>
      <x:c r="H18" s="1007"/>
      <x:c r="I18" s="1007"/>
      <x:c r="J18" s="1007"/>
      <x:c r="K18" s="1007"/>
      <x:c r="L18" s="1007"/>
    </x:row>
    <x:row r="19" ht="26.399999618530273" hidden="0" customHeight="1">
      <x:c r="A19" s="949" t="str">
        <x:v>Регион</x:v>
      </x:c>
      <x:c r="B19" s="950" t="str">
        <x:v>Узел региона 1С:Розница</x:v>
      </x:c>
      <x:c r="C19" s="950" t="str">
        <x:v>Региональный администратор / ИТ</x:v>
      </x:c>
      <x:c r="D19" s="950" t="str">
        <x:v>Центральная Розница ↔ регион ↔ франчайзеры</x:v>
      </x:c>
      <x:c r="E19" s="951" t="str">
        <x:v>SLA, очередь, автономность, reconciliation</x:v>
      </x:c>
      <x:c r="F19" s="1007"/>
      <x:c r="G19" s="1007"/>
      <x:c r="H19" s="1007"/>
      <x:c r="I19" s="1007"/>
      <x:c r="J19" s="1007"/>
      <x:c r="K19" s="1007"/>
      <x:c r="L19" s="1007"/>
    </x:row>
    <x:row r="20" ht="26.399999618530273" hidden="0" customHeight="1">
      <x:c r="A20" s="831" t="str">
        <x:v>Франчайзер</x:v>
      </x:c>
      <x:c r="B20" s="832" t="str">
        <x:v>Узел франчайзера 1С:Розница</x:v>
      </x:c>
      <x:c r="C20" s="832" t="str">
        <x:v>Франчайзер / розница</x:v>
      </x:c>
      <x:c r="D20" s="832" t="str">
        <x:v>Региональный узел ↔ локальные магазины</x:v>
      </x:c>
      <x:c r="E20" s="833" t="str">
        <x:v>Ограничения доступа, локальная торговля, статус обмена</x:v>
      </x:c>
      <x:c r="F20" s="1007"/>
      <x:c r="G20" s="1007"/>
      <x:c r="H20" s="1007"/>
      <x:c r="I20" s="1007"/>
      <x:c r="J20" s="1007"/>
      <x:c r="K20" s="1007"/>
      <x:c r="L20" s="1007"/>
    </x:row>
    <x:row r="21" ht="15" hidden="0" customHeight="1">
      <x:c r="A21" s="1007"/>
      <x:c r="B21" s="1007"/>
      <x:c r="C21" s="1007"/>
      <x:c r="D21" s="1007"/>
      <x:c r="E21" s="1007"/>
      <x:c r="F21" s="1007"/>
      <x:c r="G21" s="1007"/>
      <x:c r="H21" s="1007"/>
      <x:c r="I21" s="1007"/>
      <x:c r="J21" s="1007"/>
      <x:c r="K21" s="1007"/>
      <x:c r="L21" s="1007"/>
    </x:row>
    <x:row r="22" ht="15" hidden="0" customHeight="1">
      <x:c r="A22" s="867" t="str">
        <x:v>C. Бизнес-эффект целевой архитектуры</x:v>
      </x:c>
      <x:c r="B22" s="867"/>
      <x:c r="C22" s="867"/>
      <x:c r="D22" s="867"/>
      <x:c r="E22" s="867"/>
      <x:c r="F22" s="867"/>
      <x:c r="G22" s="867"/>
      <x:c r="H22" s="867"/>
      <x:c r="I22" s="867"/>
      <x:c r="J22" s="867"/>
      <x:c r="K22" s="867"/>
      <x:c r="L22" s="867"/>
    </x:row>
    <x:row r="23" ht="15" hidden="0" customHeight="1">
      <x:c r="A23" s="875" t="str">
        <x:v>Область</x:v>
      </x:c>
      <x:c r="B23" s="876" t="str">
        <x:v>Целевой эффект</x:v>
      </x:c>
      <x:c r="C23" s="876" t="str">
        <x:v>Проверка</x:v>
      </x:c>
      <x:c r="D23" s="877" t="str">
        <x:v>Связанное решение</x:v>
      </x:c>
      <x:c r="E23" s="1007"/>
      <x:c r="F23" s="1007"/>
      <x:c r="G23" s="1007"/>
      <x:c r="H23" s="1007"/>
      <x:c r="I23" s="1007"/>
      <x:c r="J23" s="1007"/>
      <x:c r="K23" s="1007"/>
      <x:c r="L23" s="1007"/>
    </x:row>
    <x:row r="24" ht="26.399999618530273" hidden="0" customHeight="1">
      <x:c r="A24" s="891" t="str">
        <x:v>Магазины</x:v>
      </x:c>
      <x:c r="B24" s="892" t="str">
        <x:v>Автономная работа в локальной Рознице</x:v>
      </x:c>
      <x:c r="C24" s="892" t="str">
        <x:v>Продажи при разрыве связи + корректная досинхронизация</x:v>
      </x:c>
      <x:c r="D24" s="893" t="str">
        <x:v>D-33,D-34,D-35</x:v>
      </x:c>
      <x:c r="E24" s="1007"/>
      <x:c r="F24" s="1007"/>
      <x:c r="G24" s="1007"/>
      <x:c r="H24" s="1007"/>
      <x:c r="I24" s="1007"/>
      <x:c r="J24" s="1007"/>
      <x:c r="K24" s="1007"/>
      <x:c r="L24" s="1007"/>
    </x:row>
    <x:row r="25" ht="26.399999618530273" hidden="0" customHeight="1">
      <x:c r="A25" s="949" t="str">
        <x:v>НСИ</x:v>
      </x:c>
      <x:c r="B25" s="950" t="str">
        <x:v>Единая номенклатура после перехода на одну УТ</x:v>
      </x:c>
      <x:c r="C25" s="950" t="str">
        <x:v>Один master-ID, отсутствие необъяснённых дублей</x:v>
      </x:c>
      <x:c r="D25" s="951" t="str">
        <x:v>D-07,D-32</x:v>
      </x:c>
      <x:c r="E25" s="1007"/>
      <x:c r="F25" s="1007"/>
      <x:c r="G25" s="1007"/>
      <x:c r="H25" s="1007"/>
      <x:c r="I25" s="1007"/>
      <x:c r="J25" s="1007"/>
      <x:c r="K25" s="1007"/>
      <x:c r="L25" s="1007"/>
    </x:row>
    <x:row r="26" ht="26.399999618530273" hidden="0" customHeight="1">
      <x:c r="A26" s="949" t="str">
        <x:v>Цены и скидки</x:v>
      </x:c>
      <x:c r="B26" s="950" t="str">
        <x:v>Централизованное управление, интеграция MAXMA</x:v>
      </x:c>
      <x:c r="C26" s="950" t="str">
        <x:v>Контрольные корзины, история и rollback</x:v>
      </x:c>
      <x:c r="D26" s="951" t="str">
        <x:v>D-36</x:v>
      </x:c>
      <x:c r="E26" s="1007"/>
      <x:c r="F26" s="1007"/>
      <x:c r="G26" s="1007"/>
      <x:c r="H26" s="1007"/>
      <x:c r="I26" s="1007"/>
      <x:c r="J26" s="1007"/>
      <x:c r="K26" s="1007"/>
      <x:c r="L26" s="1007"/>
    </x:row>
    <x:row r="27" ht="26.399999618530273" hidden="0" customHeight="1">
      <x:c r="A27" s="949" t="str">
        <x:v>Пользователи и права</x:v>
      </x:c>
      <x:c r="B27" s="950" t="str">
        <x:v>Ограничения по организациям и магазинам</x:v>
      </x:c>
      <x:c r="C27" s="950" t="str">
        <x:v>Матрица ролей и негативные тесты</x:v>
      </x:c>
      <x:c r="D27" s="951" t="str">
        <x:v>D-33</x:v>
      </x:c>
      <x:c r="E27" s="1007"/>
      <x:c r="F27" s="1007"/>
      <x:c r="G27" s="1007"/>
      <x:c r="H27" s="1007"/>
      <x:c r="I27" s="1007"/>
      <x:c r="J27" s="1007"/>
      <x:c r="K27" s="1007"/>
      <x:c r="L27" s="1007"/>
    </x:row>
    <x:row r="28" ht="26.399999618530273" hidden="0" customHeight="1">
      <x:c r="A28" s="949" t="str">
        <x:v>Отчётность</x:v>
      </x:c>
      <x:c r="B28" s="950" t="str">
        <x:v>Группа, регионы, франчайзеры</x:v>
      </x:c>
      <x:c r="C28" s="950" t="str">
        <x:v>Сверка до документа и единые паспорта KPI</x:v>
      </x:c>
      <x:c r="D28" s="951" t="str">
        <x:v>D-23,D-25</x:v>
      </x:c>
      <x:c r="E28" s="1007"/>
      <x:c r="F28" s="1007"/>
      <x:c r="G28" s="1007"/>
      <x:c r="H28" s="1007"/>
      <x:c r="I28" s="1007"/>
      <x:c r="J28" s="1007"/>
      <x:c r="K28" s="1007"/>
      <x:c r="L28" s="1007"/>
    </x:row>
    <x:row r="29" ht="26.399999618530273" hidden="0" customHeight="1">
      <x:c r="A29" s="949" t="str">
        <x:v>Запасы</x:v>
      </x:c>
      <x:c r="B29" s="950" t="str">
        <x:v>Обеспечение по продажам/остаткам всей франшизы</x:v>
      </x:c>
      <x:c r="C29" s="950" t="str">
        <x:v>Контрольные SKU по всем узлам без двойного счёта</x:v>
      </x:c>
      <x:c r="D29" s="951" t="str">
        <x:v>D-20,D-32</x:v>
      </x:c>
      <x:c r="E29" s="1007"/>
      <x:c r="F29" s="1007"/>
      <x:c r="G29" s="1007"/>
      <x:c r="H29" s="1007"/>
      <x:c r="I29" s="1007"/>
      <x:c r="J29" s="1007"/>
      <x:c r="K29" s="1007"/>
      <x:c r="L29" s="1007"/>
    </x:row>
    <x:row r="30" ht="39.599998474121094" hidden="0" customHeight="1">
      <x:c r="A30" s="949" t="str">
        <x:v>Себестоимость</x:v>
      </x:c>
      <x:c r="B30" s="950" t="str">
        <x:v>Расчёт в центральной УТ</x:v>
      </x:c>
      <x:c r="C30" s="950" t="str">
        <x:v>Контрольная партия/документ и bridge закупочная → полная</x:v>
      </x:c>
      <x:c r="D30" s="951" t="str">
        <x:v>D-21,D-26</x:v>
      </x:c>
      <x:c r="E30" s="1007"/>
      <x:c r="F30" s="1007"/>
      <x:c r="G30" s="1007"/>
      <x:c r="H30" s="1007"/>
      <x:c r="I30" s="1007"/>
      <x:c r="J30" s="1007"/>
      <x:c r="K30" s="1007"/>
      <x:c r="L30" s="1007"/>
    </x:row>
    <x:row r="31" ht="26.399999618530273" hidden="0" customHeight="1">
      <x:c r="A31" s="949" t="str">
        <x:v>Доработки</x:v>
      </x:c>
      <x:c r="B31" s="950" t="str">
        <x:v>Избирательный перенос в УТ и анализ Розницы</x:v>
      </x:c>
      <x:c r="C31" s="950" t="str">
        <x:v>Disposition matrix расширений и regression</x:v>
      </x:c>
      <x:c r="D31" s="951" t="str">
        <x:v>D-37,D-40</x:v>
      </x:c>
      <x:c r="E31" s="1007"/>
      <x:c r="F31" s="1007"/>
      <x:c r="G31" s="1007"/>
      <x:c r="H31" s="1007"/>
      <x:c r="I31" s="1007"/>
      <x:c r="J31" s="1007"/>
      <x:c r="K31" s="1007"/>
      <x:c r="L31" s="1007"/>
    </x:row>
    <x:row r="32" ht="26.399999618530273" hidden="0" customHeight="1">
      <x:c r="A32" s="831" t="str">
        <x:v>Интеграции</x:v>
      </x:c>
      <x:c r="B32" s="832" t="str">
        <x:v>БП–УТ–Розница–КСО под мониторингом</x:v>
      </x:c>
      <x:c r="C32" s="832" t="str">
        <x:v>SLA, alerts, retry и reconciliation</x:v>
      </x:c>
      <x:c r="D32" s="833" t="str">
        <x:v>D-35</x:v>
      </x:c>
      <x:c r="E32" s="1007"/>
      <x:c r="F32" s="1007"/>
      <x:c r="G32" s="1007"/>
      <x:c r="H32" s="1007"/>
      <x:c r="I32" s="1007"/>
      <x:c r="J32" s="1007"/>
      <x:c r="K32" s="1007"/>
      <x:c r="L32" s="1007"/>
    </x:row>
    <x:row r="33" ht="15" hidden="0" customHeight="1">
      <x:c r="A33" s="1007"/>
      <x:c r="B33" s="1007"/>
      <x:c r="C33" s="1007"/>
      <x:c r="D33" s="1007"/>
      <x:c r="E33" s="1007"/>
      <x:c r="F33" s="1007"/>
      <x:c r="G33" s="1007"/>
      <x:c r="H33" s="1007"/>
      <x:c r="I33" s="1007"/>
      <x:c r="J33" s="1007"/>
      <x:c r="K33" s="1007"/>
      <x:c r="L33" s="1007"/>
    </x:row>
    <x:row r="34" ht="15" hidden="0" customHeight="1">
      <x:c r="A34" s="867" t="str">
        <x:v>D. Место сервиса нормализации в архитектуре — проектное предложение</x:v>
      </x:c>
      <x:c r="B34" s="867"/>
      <x:c r="C34" s="867"/>
      <x:c r="D34" s="867"/>
      <x:c r="E34" s="867"/>
      <x:c r="F34" s="867"/>
      <x:c r="G34" s="867"/>
      <x:c r="H34" s="867"/>
      <x:c r="I34" s="867"/>
      <x:c r="J34" s="867"/>
      <x:c r="K34" s="867"/>
      <x:c r="L34" s="867"/>
    </x:row>
    <x:row r="35" ht="15" hidden="0" customHeight="1">
      <x:c r="A35" s="875" t="str">
        <x:v>Шаг</x:v>
      </x:c>
      <x:c r="B35" s="876" t="str">
        <x:v>Компонент</x:v>
      </x:c>
      <x:c r="C35" s="876" t="str">
        <x:v>Что происходит</x:v>
      </x:c>
      <x:c r="D35" s="876" t="str">
        <x:v>Источник истины</x:v>
      </x:c>
      <x:c r="E35" s="877" t="str">
        <x:v>Критерий</x:v>
      </x:c>
      <x:c r="F35" s="1007"/>
      <x:c r="G35" s="1007"/>
      <x:c r="H35" s="1007"/>
      <x:c r="I35" s="1007"/>
      <x:c r="J35" s="1007"/>
      <x:c r="K35" s="1007"/>
      <x:c r="L35" s="1007"/>
    </x:row>
    <x:row r="36" ht="15" hidden="0" customHeight="1">
      <x:c r="A36" s="891" t="n">
        <x:v>1</x:v>
      </x:c>
      <x:c r="B36" s="892" t="str">
        <x:v>Поставщик / оператор</x:v>
      </x:c>
      <x:c r="C36" s="892" t="str">
        <x:v>Загружается XLS/XLSX/CSV/XLS</x:v>
      </x:c>
      <x:c r="D36" s="892" t="str">
        <x:v>Оригинал + digest во внешнем сервисе</x:v>
      </x:c>
      <x:c r="E36" s="893" t="str">
        <x:v>Файл неизменяем и идентифицирован</x:v>
      </x:c>
      <x:c r="F36" s="1007"/>
      <x:c r="G36" s="1007"/>
      <x:c r="H36" s="1007"/>
      <x:c r="I36" s="1007"/>
      <x:c r="J36" s="1007"/>
      <x:c r="K36" s="1007"/>
      <x:c r="L36" s="1007"/>
    </x:row>
    <x:row r="37" ht="39.599998474121094" hidden="0" customHeight="1">
      <x:c r="A37" s="949" t="n">
        <x:v>2</x:v>
      </x:c>
      <x:c r="B37" s="950" t="str">
        <x:v>Сервис нормализации</x:v>
      </x:c>
      <x:c r="C37" s="950" t="str">
        <x:v>Reader, профиль, классификация строк, нормализация и DQ</x:v>
      </x:c>
      <x:c r="D37" s="950" t="str">
        <x:v>Raw и transformation audit</x:v>
      </x:c>
      <x:c r="E37" s="951" t="str">
        <x:v>Нет молчаливой потери строк</x:v>
      </x:c>
      <x:c r="F37" s="1007"/>
      <x:c r="G37" s="1007"/>
      <x:c r="H37" s="1007"/>
      <x:c r="I37" s="1007"/>
      <x:c r="J37" s="1007"/>
      <x:c r="K37" s="1007"/>
      <x:c r="L37" s="1007"/>
    </x:row>
    <x:row r="38" ht="26.399999618530273" hidden="0" customHeight="1">
      <x:c r="A38" s="949" t="n">
        <x:v>3</x:v>
      </x:c>
      <x:c r="B38" s="950" t="str">
        <x:v>Staging центральной УТ</x:v>
      </x:c>
      <x:c r="C38" s="950" t="str">
        <x:v>Принимается канонический пакет</x:v>
      </x:c>
      <x:c r="D38" s="950" t="str">
        <x:v>1С принимает, но не меняет master до решения</x:v>
      </x:c>
      <x:c r="E38" s="951" t="str">
        <x:v>Schema/digest/idempotency</x:v>
      </x:c>
      <x:c r="F38" s="1007"/>
      <x:c r="G38" s="1007"/>
      <x:c r="H38" s="1007"/>
      <x:c r="I38" s="1007"/>
      <x:c r="J38" s="1007"/>
      <x:c r="K38" s="1007"/>
      <x:c r="L38" s="1007"/>
    </x:row>
    <x:row r="39" ht="26.399999618530273" hidden="0" customHeight="1">
      <x:c r="A39" s="949" t="n">
        <x:v>4</x:v>
      </x:c>
      <x:c r="B39" s="950" t="str">
        <x:v>Рабочее место КМ в УТ</x:v>
      </x:c>
      <x:c r="C39" s="950" t="str">
        <x:v>Подтверждаются mapping, упаковки, цены и новинки</x:v>
      </x:c>
      <x:c r="D39" s="950" t="str">
        <x:v>1С — master НСИ и решений</x:v>
      </x:c>
      <x:c r="E39" s="951" t="str">
        <x:v>Fuzzy не auto-confirm</x:v>
      </x:c>
      <x:c r="F39" s="1007"/>
      <x:c r="G39" s="1007"/>
      <x:c r="H39" s="1007"/>
      <x:c r="I39" s="1007"/>
      <x:c r="J39" s="1007"/>
      <x:c r="K39" s="1007"/>
      <x:c r="L39" s="1007"/>
    </x:row>
    <x:row r="40" ht="26.399999618530273" hidden="0" customHeight="1">
      <x:c r="A40" s="949" t="n">
        <x:v>5</x:v>
      </x:c>
      <x:c r="B40" s="950" t="str">
        <x:v>Расчёт и заказ в УТ</x:v>
      </x:c>
      <x:c r="C40" s="950" t="str">
        <x:v>Типовой расчёт потребности и черновик заказа</x:v>
      </x:c>
      <x:c r="D40" s="950" t="str">
        <x:v>1С:УТ 11</x:v>
      </x:c>
      <x:c r="E40" s="951" t="str">
        <x:v>Trace package → mapping → recommendation → order</x:v>
      </x:c>
      <x:c r="F40" s="1007"/>
      <x:c r="G40" s="1007"/>
      <x:c r="H40" s="1007"/>
      <x:c r="I40" s="1007"/>
      <x:c r="J40" s="1007"/>
      <x:c r="K40" s="1007"/>
      <x:c r="L40" s="1007"/>
    </x:row>
    <x:row r="41" ht="39.599998474121094" hidden="0" customHeight="1">
      <x:c r="A41" s="831" t="n">
        <x:v>6</x:v>
      </x:c>
      <x:c r="B41" s="832" t="str">
        <x:v>Распространение в Розницу</x:v>
      </x:c>
      <x:c r="C41" s="832" t="str">
        <x:v>Утверждённые НСИ/цены передаются штатными обменами</x:v>
      </x:c>
      <x:c r="D41" s="832" t="str">
        <x:v>Центральная УТ/Розница</x:v>
      </x:c>
      <x:c r="E41" s="833" t="str">
        <x:v>Сервис не пишет напрямую в региональные узлы</x:v>
      </x:c>
      <x:c r="F41" s="1007"/>
      <x:c r="G41" s="1007"/>
      <x:c r="H41" s="1007"/>
      <x:c r="I41" s="1007"/>
      <x:c r="J41" s="1007"/>
      <x:c r="K41" s="1007"/>
      <x:c r="L41" s="1007"/>
    </x:row>
    <x:row r="42" ht="15" hidden="0" customHeight="1">
      <x:c r="A42" s="1007"/>
      <x:c r="B42" s="1007"/>
      <x:c r="C42" s="1007"/>
      <x:c r="D42" s="1007"/>
      <x:c r="E42" s="1007"/>
      <x:c r="F42" s="1007"/>
      <x:c r="G42" s="1007"/>
      <x:c r="H42" s="1007"/>
      <x:c r="I42" s="1007"/>
      <x:c r="J42" s="1007"/>
      <x:c r="K42" s="1007"/>
      <x:c r="L42" s="1007"/>
    </x:row>
    <x:row r="43" ht="15" hidden="0" customHeight="1">
      <x:c r="A43" s="867" t="str">
        <x:v>E. Архитектурная миграция — рекомендуемые work packages</x:v>
      </x:c>
      <x:c r="B43" s="867"/>
      <x:c r="C43" s="867"/>
      <x:c r="D43" s="867"/>
      <x:c r="E43" s="867"/>
      <x:c r="F43" s="867"/>
      <x:c r="G43" s="867"/>
      <x:c r="H43" s="867"/>
      <x:c r="I43" s="867"/>
      <x:c r="J43" s="867"/>
      <x:c r="K43" s="867"/>
      <x:c r="L43" s="867"/>
    </x:row>
    <x:row r="44" ht="15" hidden="0" customHeight="1">
      <x:c r="A44" s="875" t="str">
        <x:v>WP</x:v>
      </x:c>
      <x:c r="B44" s="876" t="str">
        <x:v>Работа</x:v>
      </x:c>
      <x:c r="C44" s="876" t="str">
        <x:v>Недели</x:v>
      </x:c>
      <x:c r="D44" s="876" t="str">
        <x:v>Вход</x:v>
      </x:c>
      <x:c r="E44" s="876" t="str">
        <x:v>Результат</x:v>
      </x:c>
      <x:c r="F44" s="876" t="str">
        <x:v>Gate</x:v>
      </x:c>
      <x:c r="G44" s="877" t="str">
        <x:v>Владелец</x:v>
      </x:c>
      <x:c r="H44" s="1007"/>
      <x:c r="I44" s="1007"/>
      <x:c r="J44" s="1007"/>
      <x:c r="K44" s="1007"/>
      <x:c r="L44" s="1007"/>
    </x:row>
    <x:row r="45" ht="26.399999618530273" hidden="0" customHeight="1">
      <x:c r="A45" s="891" t="str">
        <x:v>A-01</x:v>
      </x:c>
      <x:c r="B45" s="892" t="str">
        <x:v>Инвентаризация баз, магазинов, узлов, версий и обменов</x:v>
      </x:c>
      <x:c r="C45" s="892" t="str">
        <x:v>1–2</x:v>
      </x:c>
      <x:c r="D45" s="892" t="str">
        <x:v>Доступы, презентация, рабочие базы</x:v>
      </x:c>
      <x:c r="E45" s="892" t="str">
        <x:v>Точная карта AS-IS / TO-BE</x:v>
      </x:c>
      <x:c r="F45" s="892" t="str">
        <x:v>G0</x:v>
      </x:c>
      <x:c r="G45" s="893" t="str">
        <x:v>Владелец 1С / ИТ</x:v>
      </x:c>
      <x:c r="H45" s="1007"/>
      <x:c r="I45" s="1007"/>
      <x:c r="J45" s="1007"/>
      <x:c r="K45" s="1007"/>
      <x:c r="L45" s="1007"/>
    </x:row>
    <x:row r="46" ht="15" hidden="0" customHeight="1">
      <x:c r="A46" s="949" t="str">
        <x:v>A-02</x:v>
      </x:c>
      <x:c r="B46" s="950" t="str">
        <x:v>Паспорта 14 расширений и права на код</x:v>
      </x:c>
      <x:c r="C46" s="950" t="str">
        <x:v>1–3</x:v>
      </x:c>
      <x:c r="D46" s="950" t="str">
        <x:v>SRC-20, исходники, договоры</x:v>
      </x:c>
      <x:c r="E46" s="950" t="str">
        <x:v>Disposition matrix и реестр данных</x:v>
      </x:c>
      <x:c r="F46" s="950" t="str">
        <x:v>G0</x:v>
      </x:c>
      <x:c r="G46" s="951" t="str">
        <x:v>Архитектурный комитет</x:v>
      </x:c>
      <x:c r="H46" s="1007"/>
      <x:c r="I46" s="1007"/>
      <x:c r="J46" s="1007"/>
      <x:c r="K46" s="1007"/>
      <x:c r="L46" s="1007"/>
    </x:row>
    <x:row r="47" ht="15" hidden="0" customHeight="1">
      <x:c r="A47" s="949" t="str">
        <x:v>A-03</x:v>
      </x:c>
      <x:c r="B47" s="950" t="str">
        <x:v>Контрольный маршрут БП–УТ–Розница</x:v>
      </x:c>
      <x:c r="C47" s="950" t="str">
        <x:v>2–6</x:v>
      </x:c>
      <x:c r="D47" s="950" t="str">
        <x:v>Один магазин/день</x:v>
      </x:c>
      <x:c r="E47" s="950" t="str">
        <x:v>Сверка документов и exception backlog</x:v>
      </x:c>
      <x:c r="F47" s="950" t="str">
        <x:v>G1</x:v>
      </x:c>
      <x:c r="G47" s="951" t="str">
        <x:v>ИТ + финансы</x:v>
      </x:c>
      <x:c r="H47" s="1007"/>
      <x:c r="I47" s="1007"/>
      <x:c r="J47" s="1007"/>
      <x:c r="K47" s="1007"/>
      <x:c r="L47" s="1007"/>
    </x:row>
    <x:row r="48" ht="15" hidden="0" customHeight="1">
      <x:c r="A48" s="949" t="str">
        <x:v>A-04</x:v>
      </x:c>
      <x:c r="B48" s="950" t="str">
        <x:v>НСИ, цены, скидки, права и MAXMA</x:v>
      </x:c>
      <x:c r="C48" s="950" t="str">
        <x:v>3–10</x:v>
      </x:c>
      <x:c r="D48" s="950" t="str">
        <x:v>Методология и owners</x:v>
      </x:c>
      <x:c r="E48" s="950" t="str">
        <x:v>Утверждённые master rules</x:v>
      </x:c>
      <x:c r="F48" s="950" t="str">
        <x:v>G2</x:v>
      </x:c>
      <x:c r="G48" s="951" t="str">
        <x:v>КМ / коммерция / ИТ</x:v>
      </x:c>
      <x:c r="H48" s="1007"/>
      <x:c r="I48" s="1007"/>
      <x:c r="J48" s="1007"/>
      <x:c r="K48" s="1007"/>
      <x:c r="L48" s="1007"/>
    </x:row>
    <x:row r="49" ht="15" hidden="0" customHeight="1">
      <x:c r="A49" s="949" t="str">
        <x:v>A-05</x:v>
      </x:c>
      <x:c r="B49" s="950" t="str">
        <x:v>Миграция/рефакторинг расширений P0</x:v>
      </x:c>
      <x:c r="C49" s="950" t="str">
        <x:v>5–18</x:v>
      </x:c>
      <x:c r="D49" s="950" t="str">
        <x:v>D-37…D-40</x:v>
      </x:c>
      <x:c r="E49" s="950" t="str">
        <x:v>Совместимые расширения и migrated data</x:v>
      </x:c>
      <x:c r="F49" s="950" t="str">
        <x:v>G3</x:v>
      </x:c>
      <x:c r="G49" s="951" t="str">
        <x:v>1С + QA</x:v>
      </x:c>
      <x:c r="H49" s="1007"/>
      <x:c r="I49" s="1007"/>
      <x:c r="J49" s="1007"/>
      <x:c r="K49" s="1007"/>
      <x:c r="L49" s="1007"/>
    </x:row>
    <x:row r="50" ht="26.399999618530273" hidden="0" customHeight="1">
      <x:c r="A50" s="949" t="str">
        <x:v>A-06</x:v>
      </x:c>
      <x:c r="B50" s="950" t="str">
        <x:v>Пилот узла 1С:Розницы и coexistence с Frontol</x:v>
      </x:c>
      <x:c r="C50" s="950" t="str">
        <x:v>7–18</x:v>
      </x:c>
      <x:c r="D50" s="950" t="str">
        <x:v>Карта узлов, тестовая база</x:v>
      </x:c>
      <x:c r="E50" s="950" t="str">
        <x:v>Автономность, обмен, rollback</x:v>
      </x:c>
      <x:c r="F50" s="950" t="str">
        <x:v>G3</x:v>
      </x:c>
      <x:c r="G50" s="951" t="str">
        <x:v>Розница / ИТ</x:v>
      </x:c>
      <x:c r="H50" s="1007"/>
      <x:c r="I50" s="1007"/>
      <x:c r="J50" s="1007"/>
      <x:c r="K50" s="1007"/>
      <x:c r="L50" s="1007"/>
    </x:row>
    <x:row r="51" ht="26.399999618530273" hidden="0" customHeight="1">
      <x:c r="A51" s="949" t="str">
        <x:v>A-07</x:v>
      </x:c>
      <x:c r="B51" s="950" t="str">
        <x:v>Подключение сервиса нормализации к центральной УТ</x:v>
      </x:c>
      <x:c r="C51" s="950" t="str">
        <x:v>9–18</x:v>
      </x:c>
      <x:c r="D51" s="950" t="str">
        <x:v>Контракты, staging, auth</x:v>
      </x:c>
      <x:c r="E51" s="950" t="str">
        <x:v>Golden package принят в УТ</x:v>
      </x:c>
      <x:c r="F51" s="950" t="str">
        <x:v>G3</x:v>
      </x:c>
      <x:c r="G51" s="951" t="str">
        <x:v>Backend + 1С</x:v>
      </x:c>
      <x:c r="H51" s="1007"/>
      <x:c r="I51" s="1007"/>
      <x:c r="J51" s="1007"/>
      <x:c r="K51" s="1007"/>
      <x:c r="L51" s="1007"/>
    </x:row>
    <x:row r="52" ht="26.399999618530273" hidden="0" customHeight="1">
      <x:c r="A52" s="949" t="str">
        <x:v>A-08</x:v>
      </x:c>
      <x:c r="B52" s="950" t="str">
        <x:v>Пилот заказа и распространение утверждённых данных</x:v>
      </x:c>
      <x:c r="C52" s="950" t="str">
        <x:v>13–22</x:v>
      </x:c>
      <x:c r="D52" s="950" t="str">
        <x:v>3–5 поставщиков, 30–50 SKU</x:v>
      </x:c>
      <x:c r="E52" s="950" t="str">
        <x:v>Черновик заказа + trace</x:v>
      </x:c>
      <x:c r="F52" s="950" t="str">
        <x:v>G4</x:v>
      </x:c>
      <x:c r="G52" s="951" t="str">
        <x:v>КМ / 1С</x:v>
      </x:c>
      <x:c r="H52" s="1007"/>
      <x:c r="I52" s="1007"/>
      <x:c r="J52" s="1007"/>
      <x:c r="K52" s="1007"/>
      <x:c r="L52" s="1007"/>
    </x:row>
    <x:row r="53" ht="26.399999618530273" hidden="0" customHeight="1">
      <x:c r="A53" s="831" t="str">
        <x:v>A-09</x:v>
      </x:c>
      <x:c r="B53" s="832" t="str">
        <x:v>Rollout регионов/франчайзи и передача эксплуатации</x:v>
      </x:c>
      <x:c r="C53" s="832" t="str">
        <x:v>23–34</x:v>
      </x:c>
      <x:c r="D53" s="832" t="str">
        <x:v>Успешные пилоты</x:v>
      </x:c>
      <x:c r="E53" s="832" t="str">
        <x:v>Поэтапный rollout, SLA, runbooks</x:v>
      </x:c>
      <x:c r="F53" s="832" t="str">
        <x:v>G7</x:v>
      </x:c>
      <x:c r="G53" s="833" t="str">
        <x:v>Руководитель проекта</x:v>
      </x:c>
      <x:c r="H53" s="1007"/>
      <x:c r="I53" s="1007"/>
      <x:c r="J53" s="1007"/>
      <x:c r="K53" s="1007"/>
      <x:c r="L53" s="1007"/>
    </x:row>
    <x:row r="54" ht="15" hidden="0" customHeight="1">
      <x:c r="A54" s="1007"/>
      <x:c r="B54" s="1007"/>
      <x:c r="C54" s="1007"/>
      <x:c r="D54" s="1007"/>
      <x:c r="E54" s="1007"/>
      <x:c r="F54" s="1007"/>
      <x:c r="G54" s="1007"/>
      <x:c r="H54" s="1007"/>
      <x:c r="I54" s="1007"/>
      <x:c r="J54" s="1007"/>
      <x:c r="K54" s="1007"/>
      <x:c r="L54" s="1007"/>
    </x:row>
    <x:row r="55" ht="15" hidden="0" customHeight="1">
      <x:c r="A55" s="1007"/>
      <x:c r="B55" s="1007"/>
      <x:c r="C55" s="1007"/>
      <x:c r="D55" s="1007"/>
      <x:c r="E55" s="1007"/>
      <x:c r="F55" s="1007"/>
      <x:c r="G55" s="1007"/>
      <x:c r="H55" s="1007"/>
      <x:c r="I55" s="1007"/>
      <x:c r="J55" s="1007"/>
      <x:c r="K55" s="1007"/>
      <x:c r="L55" s="1007"/>
    </x:row>
    <x:row r="56" ht="15" hidden="0" customHeight="1">
      <x:c r="A56" s="1007"/>
      <x:c r="B56" s="1007"/>
      <x:c r="C56" s="1007"/>
      <x:c r="D56" s="1007"/>
      <x:c r="E56" s="1007"/>
      <x:c r="F56" s="1007"/>
      <x:c r="G56" s="1007"/>
      <x:c r="H56" s="1007"/>
      <x:c r="I56" s="1007"/>
      <x:c r="J56" s="1007"/>
      <x:c r="K56" s="1007"/>
      <x:c r="L56" s="1007"/>
    </x:row>
    <x:row r="57" ht="15" hidden="0" customHeight="1">
      <x:c r="A57" s="1007"/>
      <x:c r="B57" s="1007"/>
      <x:c r="C57" s="1007"/>
      <x:c r="D57" s="1007"/>
      <x:c r="E57" s="1007"/>
      <x:c r="F57" s="1007"/>
      <x:c r="G57" s="1007"/>
      <x:c r="H57" s="1007"/>
      <x:c r="I57" s="1007"/>
      <x:c r="J57" s="1007"/>
      <x:c r="K57" s="1007"/>
      <x:c r="L57" s="1007"/>
    </x:row>
    <x:row r="58" ht="15" hidden="0" customHeight="1">
      <x:c r="A58" s="1007"/>
      <x:c r="B58" s="1007"/>
      <x:c r="C58" s="1007"/>
      <x:c r="D58" s="1007"/>
      <x:c r="E58" s="1007"/>
      <x:c r="F58" s="1007"/>
      <x:c r="G58" s="1007"/>
      <x:c r="H58" s="1007"/>
      <x:c r="I58" s="1007"/>
      <x:c r="J58" s="1007"/>
      <x:c r="K58" s="1007"/>
      <x:c r="L58" s="1007"/>
    </x:row>
    <x:row r="59" ht="15" hidden="0" customHeight="1">
      <x:c r="A59" s="1007"/>
      <x:c r="B59" s="1007"/>
      <x:c r="C59" s="1007"/>
      <x:c r="D59" s="1007"/>
      <x:c r="E59" s="1007"/>
      <x:c r="F59" s="1007"/>
      <x:c r="G59" s="1007"/>
      <x:c r="H59" s="1007"/>
      <x:c r="I59" s="1007"/>
      <x:c r="J59" s="1007"/>
      <x:c r="K59" s="1007"/>
      <x:c r="L59" s="1007"/>
    </x:row>
    <x:row r="60" ht="15" hidden="0" customHeight="1">
      <x:c r="A60" s="1007"/>
      <x:c r="B60" s="1007"/>
      <x:c r="C60" s="1007"/>
      <x:c r="D60" s="1007"/>
      <x:c r="E60" s="1007"/>
      <x:c r="F60" s="1007"/>
      <x:c r="G60" s="1007"/>
      <x:c r="H60" s="1007"/>
      <x:c r="I60" s="1007"/>
      <x:c r="J60" s="1007"/>
      <x:c r="K60" s="1007"/>
      <x:c r="L60" s="1007"/>
    </x:row>
  </x:sheetData>
  <x:mergeCells>
    <x:mergeCell ref="A1:L1"/>
    <x:mergeCell ref="A2:L2"/>
    <x:mergeCell ref="A4:L4"/>
    <x:mergeCell ref="A13:L13"/>
    <x:mergeCell ref="A22:L22"/>
    <x:mergeCell ref="A34:L34"/>
    <x:mergeCell ref="A43:L4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" hidden="0" customWidth="1"/>
    <x:col min="3" max="3" width="23" hidden="0" customWidth="1"/>
    <x:col min="4" max="4" width="42" hidden="0" customWidth="1"/>
    <x:col min="5" max="5" width="38" hidden="0" customWidth="1"/>
    <x:col min="6" max="6" width="10" hidden="0" customWidth="1"/>
    <x:col min="7" max="7" width="20" hidden="0" customWidth="1"/>
    <x:col min="8" max="8" width="25" hidden="0" customWidth="1"/>
    <x:col min="9" max="9" width="38" hidden="0" customWidth="1"/>
    <x:col min="10" max="10" width="24" hidden="0" customWidth="1"/>
  </x:cols>
  <x:sheetData>
    <x:row r="1" ht="34" customHeight="1">
      <x:c r="A1" s="1073" t="str">
        <x:v>Запросы из интервью — простая карта для руководителя и пользователя</x:v>
      </x:c>
      <x:c r="B1" s="1073"/>
      <x:c r="C1" s="1073"/>
      <x:c r="D1" s="1073"/>
      <x:c r="E1" s="1073"/>
      <x:c r="F1" s="1073"/>
      <x:c r="G1" s="1073"/>
      <x:c r="H1" s="1073"/>
      <x:c r="I1" s="1073"/>
      <x:c r="J1" s="1073"/>
    </x:row>
    <x:row r="2" ht="30" customHeight="1">
      <x:c r="A2" s="1076" t="str">
        <x:v>58 запросов по пяти ролям: собственник, категорийный менеджер, финансовый директор, соучредитель по масштабированию и операционный директор по продажам</x:v>
      </x:c>
      <x:c r="B2" s="1076"/>
      <x:c r="C2" s="1076"/>
      <x:c r="D2" s="1076"/>
      <x:c r="E2" s="1076"/>
      <x:c r="F2" s="1076"/>
      <x:c r="G2" s="1076"/>
      <x:c r="H2" s="1076"/>
      <x:c r="I2" s="1076"/>
      <x:c r="J2" s="1076"/>
    </x:row>
    <x:row r="4" ht="32" customHeight="1">
      <x:c r="A4" s="1081" t="str">
        <x:v>ID запроса</x:v>
      </x:c>
      <x:c r="B4" s="1081" t="str">
        <x:v>Роль</x:v>
      </x:c>
      <x:c r="C4" s="1081" t="str">
        <x:v>Блок</x:v>
      </x:c>
      <x:c r="D4" s="1081" t="str">
        <x:v>Запрос простыми словами</x:v>
      </x:c>
      <x:c r="E4" s="1081" t="str">
        <x:v>Проблема сейчас</x:v>
      </x:c>
      <x:c r="F4" s="1081" t="str">
        <x:v>Приоритет</x:v>
      </x:c>
      <x:c r="G4" s="1081" t="str">
        <x:v>ID требований</x:v>
      </x:c>
      <x:c r="H4" s="1081" t="str">
        <x:v>Подтверждение</x:v>
      </x:c>
      <x:c r="I4" s="1081" t="str">
        <x:v>Что сделать для проверки</x:v>
      </x:c>
      <x:c r="J4" s="1081" t="str">
        <x:v>Владелец</x:v>
      </x:c>
    </x:row>
    <x:row r="5" ht="58" customHeight="1">
      <x:c r="A5" s="1084" t="str">
        <x:v>OWN-01</x:v>
      </x:c>
      <x:c r="B5" s="1084" t="str">
        <x:v>Собственник</x:v>
      </x:c>
      <x:c r="C5" s="1084" t="str">
        <x:v>Цели проекта</x:v>
      </x:c>
      <x:c r="D5" s="1084" t="str">
        <x:v>Один достоверный управленческий срез по группе</x:v>
      </x:c>
      <x:c r="E5" s="1084" t="str">
        <x:v>Данные и отчёты распределены по системам и людям</x:v>
      </x:c>
      <x:c r="F5" s="1084" t="str">
        <x:v>P0</x:v>
      </x:c>
      <x:c r="G5" s="1084" t="str">
        <x:v>SCL-001,FIN-019</x:v>
      </x:c>
      <x:c r="H5" s="1084" t="str">
        <x:v>Подтверждено или частично подтверждено указанными источниками; детали и ограничения отмечены в реестре</x:v>
      </x:c>
      <x:c r="I5" s="1084" t="str">
        <x:v>Утвердить официальные KPI и проверить один контрольный день</x:v>
      </x:c>
      <x:c r="J5" s="1084" t="str">
        <x:v>Собственник / финдиректор</x:v>
      </x:c>
    </x:row>
    <x:row r="6" ht="58" customHeight="1">
      <x:c r="A6" s="1084" t="str">
        <x:v>OWN-02</x:v>
      </x:c>
      <x:c r="B6" s="1084" t="str">
        <x:v>Собственник</x:v>
      </x:c>
      <x:c r="C6" s="1084" t="str">
        <x:v>Достоверность</x:v>
      </x:c>
      <x:c r="D6" s="1084" t="str">
        <x:v>Статус загрузки каждого магазина и узла</x:v>
      </x:c>
      <x:c r="E6" s="1084" t="str">
        <x:v>Неполный отчёт может выглядеть полным</x:v>
      </x:c>
      <x:c r="F6" s="1084" t="str">
        <x:v>P0</x:v>
      </x:c>
      <x:c r="G6" s="1084" t="str">
        <x:v>SCL-003,DAT-010</x:v>
      </x:c>
      <x:c r="H6" s="1084" t="str">
        <x:v>Подтверждено или частично подтверждено указанными источниками; детали и ограничения отмечены в реестре</x:v>
      </x:c>
      <x:c r="I6" s="1084" t="str">
        <x:v>Смоделировать пропуск точки и безопасный повтор</x:v>
      </x:c>
      <x:c r="J6" s="1084" t="str">
        <x:v>ИТ / data owner</x:v>
      </x:c>
    </x:row>
    <x:row r="7" ht="58" customHeight="1">
      <x:c r="A7" s="1084" t="str">
        <x:v>OWN-03</x:v>
      </x:c>
      <x:c r="B7" s="1084" t="str">
        <x:v>Собственник</x:v>
      </x:c>
      <x:c r="C7" s="1084" t="str">
        <x:v>Управление проектом</x:v>
      </x:c>
      <x:c r="D7" s="1084" t="str">
        <x:v>Один ответственный, единый backlog и прозрачный статус</x:v>
      </x:c>
      <x:c r="E7" s="1084" t="str">
        <x:v>Результат зависит от переписки и подрядчика</x:v>
      </x:c>
      <x:c r="F7" s="1084" t="str">
        <x:v>P0</x:v>
      </x:c>
      <x:c r="G7" s="1084" t="str">
        <x:v>GOV-001,GOV-002</x:v>
      </x:c>
      <x:c r="H7" s="1084" t="str">
        <x:v>Подтверждено или частично подтверждено указанными источниками; детали и ограничения отмечены в реестре</x:v>
      </x:c>
      <x:c r="I7" s="1084" t="str">
        <x:v>Утвердить роли и еженедельный статус проекта</x:v>
      </x:c>
      <x:c r="J7" s="1084" t="str">
        <x:v>Спонсор / координатор</x:v>
      </x:c>
    </x:row>
    <x:row r="8" ht="58" customHeight="1">
      <x:c r="A8" s="1084" t="str">
        <x:v>OWN-04</x:v>
      </x:c>
      <x:c r="B8" s="1084" t="str">
        <x:v>Собственник</x:v>
      </x:c>
      <x:c r="C8" s="1084" t="str">
        <x:v>Активы подрядчика</x:v>
      </x:c>
      <x:c r="D8" s="1084" t="str">
        <x:v>Получить исходники, расширения, документы и доступы</x:v>
      </x:c>
      <x:c r="E8" s="1084" t="str">
        <x:v>Критические знания и код могут оставаться у подрядчика</x:v>
      </x:c>
      <x:c r="F8" s="1084" t="str">
        <x:v>P0</x:v>
      </x:c>
      <x:c r="G8" s="1084" t="str">
        <x:v>GOV-003,CFG-002</x:v>
      </x:c>
      <x:c r="H8" s="1084" t="str">
        <x:v>Подтверждено или частично подтверждено указанными источниками; детали и ограничения отмечены в реестре</x:v>
      </x:c>
      <x:c r="I8" s="1084" t="str">
        <x:v>Подписать акт инвентаризации и передачи</x:v>
      </x:c>
      <x:c r="J8" s="1084" t="str">
        <x:v>Юрист / ИТ</x:v>
      </x:c>
    </x:row>
    <x:row r="9" ht="58" customHeight="1">
      <x:c r="A9" s="1084" t="str">
        <x:v>OWN-05</x:v>
      </x:c>
      <x:c r="B9" s="1084" t="str">
        <x:v>Собственник</x:v>
      </x:c>
      <x:c r="C9" s="1084" t="str">
        <x:v>P&amp;L</x:v>
      </x:c>
      <x:c r="D9" s="1084" t="str">
        <x:v>P&amp;L по магазинам с расшифровкой до документа</x:v>
      </x:c>
      <x:c r="E9" s="1084" t="str">
        <x:v>Отчёт собирается вручную и содержит пустые подразделения</x:v>
      </x:c>
      <x:c r="F9" s="1084" t="str">
        <x:v>P0</x:v>
      </x:c>
      <x:c r="G9" s="1084" t="str">
        <x:v>FIN-019,FIN-020</x:v>
      </x:c>
      <x:c r="H9" s="1084" t="str">
        <x:v>Подтверждено или частично подтверждено указанными источниками; детали и ограничения отмечены в реестре</x:v>
      </x:c>
      <x:c r="I9" s="1084" t="str">
        <x:v>Сверить месяц и три магазина до первички</x:v>
      </x:c>
      <x:c r="J9" s="1084" t="str">
        <x:v>Финдиректор</x:v>
      </x:c>
    </x:row>
    <x:row r="10" ht="58" customHeight="1">
      <x:c r="A10" s="1084" t="str">
        <x:v>OWN-06</x:v>
      </x:c>
      <x:c r="B10" s="1084" t="str">
        <x:v>Собственник</x:v>
      </x:c>
      <x:c r="C10" s="1084" t="str">
        <x:v>Запасы</x:v>
      </x:c>
      <x:c r="D10" s="1084" t="str">
        <x:v>Управлять дефицитом, излишком и товаром в пути</x:v>
      </x:c>
      <x:c r="E10" s="1084" t="str">
        <x:v>Нет единого проверенного среза продаж и запасов</x:v>
      </x:c>
      <x:c r="F10" s="1084" t="str">
        <x:v>P0</x:v>
      </x:c>
      <x:c r="G10" s="1084" t="str">
        <x:v>CAT-001,CAT-007</x:v>
      </x:c>
      <x:c r="H10" s="1084" t="str">
        <x:v>Подтверждено или частично подтверждено указанными источниками; детали и ограничения отмечены в реестре</x:v>
      </x:c>
      <x:c r="I10" s="1084" t="str">
        <x:v>Сверить 20 SKU по всем статусам</x:v>
      </x:c>
      <x:c r="J10" s="1084" t="str">
        <x:v>КМ / склад</x:v>
      </x:c>
    </x:row>
    <x:row r="11" ht="58" customHeight="1">
      <x:c r="A11" s="1084" t="str">
        <x:v>OWN-07</x:v>
      </x:c>
      <x:c r="B11" s="1084" t="str">
        <x:v>Собственник</x:v>
      </x:c>
      <x:c r="C11" s="1084" t="str">
        <x:v>Архитектура</x:v>
      </x:c>
      <x:c r="D11" s="1084" t="str">
        <x:v>Одна целевая архитектура без конфликтующих решений</x:v>
      </x:c>
      <x:c r="E11" s="1084" t="str">
        <x:v>Границы между архитектурой Форус и сервисом нужно закрепить</x:v>
      </x:c>
      <x:c r="F11" s="1084" t="str">
        <x:v>P0</x:v>
      </x:c>
      <x:c r="G11" s="1084" t="str">
        <x:v>GOV-004,ARC-001</x:v>
      </x:c>
      <x:c r="H11" s="1084" t="str">
        <x:v>Подтверждено или частично подтверждено указанными источниками; детали и ограничения отмечены в реестре</x:v>
      </x:c>
      <x:c r="I11" s="1084" t="str">
        <x:v>Подписать единый ADR и карту компонентов</x:v>
      </x:c>
      <x:c r="J11" s="1084" t="str">
        <x:v>Архитектурный комитет</x:v>
      </x:c>
    </x:row>
    <x:row r="12" ht="58" customHeight="1">
      <x:c r="A12" s="1084" t="str">
        <x:v>OWN-08</x:v>
      </x:c>
      <x:c r="B12" s="1084" t="str">
        <x:v>Собственник</x:v>
      </x:c>
      <x:c r="C12" s="1084" t="str">
        <x:v>Масштабирование</x:v>
      </x:c>
      <x:c r="D12" s="1084" t="str">
        <x:v>Открывать точки по повторяемому стандарту</x:v>
      </x:c>
      <x:c r="E12" s="1084" t="str">
        <x:v>Каждое подключение рискует стать отдельным проектом</x:v>
      </x:c>
      <x:c r="F12" s="1084" t="str">
        <x:v>P0</x:v>
      </x:c>
      <x:c r="G12" s="1084" t="str">
        <x:v>SCL-004,SCL-005</x:v>
      </x:c>
      <x:c r="H12" s="1084" t="str">
        <x:v>Подтверждено или частично подтверждено указанными источниками; детали и ограничения отмечены в реестре</x:v>
      </x:c>
      <x:c r="I12" s="1084" t="str">
        <x:v>Провести rehearsal пакета на одной точке</x:v>
      </x:c>
      <x:c r="J12" s="1084" t="str">
        <x:v>Соучредитель / розница / ИТ</x:v>
      </x:c>
    </x:row>
    <x:row r="13" ht="58" customHeight="1">
      <x:c r="A13" s="1084" t="str">
        <x:v>OWN-09</x:v>
      </x:c>
      <x:c r="B13" s="1084" t="str">
        <x:v>Собственник</x:v>
      </x:c>
      <x:c r="C13" s="1084" t="str">
        <x:v>Безопасность</x:v>
      </x:c>
      <x:c r="D13" s="1084" t="str">
        <x:v>Ограничить широкие и временные доступы</x:v>
      </x:c>
      <x:c r="E13" s="1084" t="str">
        <x:v>Финансовые и коммерческие данные доступны слишком широко</x:v>
      </x:c>
      <x:c r="F13" s="1084" t="str">
        <x:v>P1</x:v>
      </x:c>
      <x:c r="G13" s="1084" t="str">
        <x:v>NFR-006,SCL-006</x:v>
      </x:c>
      <x:c r="H13" s="1084" t="str">
        <x:v>Подтверждено или частично подтверждено указанными источниками; детали и ограничения отмечены в реестре</x:v>
      </x:c>
      <x:c r="I13" s="1084" t="str">
        <x:v>Реестр ролей, сроков и отзывов</x:v>
      </x:c>
      <x:c r="J13" s="1084" t="str">
        <x:v>ИТ / владельцы данных</x:v>
      </x:c>
    </x:row>
    <x:row r="14" ht="58" customHeight="1">
      <x:c r="A14" s="1084" t="str">
        <x:v>OWN-10</x:v>
      </x:c>
      <x:c r="B14" s="1084" t="str">
        <x:v>Собственник</x:v>
      </x:c>
      <x:c r="C14" s="1084" t="str">
        <x:v>Приоритеты</x:v>
      </x:c>
      <x:c r="D14" s="1084" t="str">
        <x:v>Сначала достоверность и правила, затем интерфейсы</x:v>
      </x:c>
      <x:c r="E14" s="1084" t="str">
        <x:v>Есть риск автоматизировать неверные формулы</x:v>
      </x:c>
      <x:c r="F14" s="1084" t="str">
        <x:v>P0</x:v>
      </x:c>
      <x:c r="G14" s="1084" t="str">
        <x:v>GOV-005,DAT-001</x:v>
      </x:c>
      <x:c r="H14" s="1084" t="str">
        <x:v>Подтверждено или частично подтверждено указанными источниками; детали и ограничения отмечены в реестре</x:v>
      </x:c>
      <x:c r="I14" s="1084" t="str">
        <x:v>Применять ворота G0–G2</x:v>
      </x:c>
      <x:c r="J14" s="1084" t="str">
        <x:v>Спонсор / руководитель проекта</x:v>
      </x:c>
    </x:row>
    <x:row r="15" ht="58" customHeight="1">
      <x:c r="A15" s="1085" t="str">
        <x:v>CATQ-01</x:v>
      </x:c>
      <x:c r="B15" s="1085" t="str">
        <x:v>Категорийный менеджер</x:v>
      </x:c>
      <x:c r="C15" s="1085" t="str">
        <x:v>Закупочный срез</x:v>
      </x:c>
      <x:c r="D15" s="1085" t="str">
        <x:v>Продажи, остатки, резерв, транзит, заказы, себестоимость и цены в одном отчёте</x:v>
      </x:c>
      <x:c r="E15" s="1085" t="str">
        <x:v>Ключевой старый отчёт отсутствует; данные собираются вручную</x:v>
      </x:c>
      <x:c r="F15" s="1085" t="str">
        <x:v>P0</x:v>
      </x:c>
      <x:c r="G15" s="1085" t="str">
        <x:v>CAT-001,BR-C01</x:v>
      </x:c>
      <x:c r="H15" s="1085" t="str">
        <x:v>Подтверждено или частично подтверждено указанными источниками; детали и ограничения отмечены в реестре</x:v>
      </x:c>
      <x:c r="I15" s="1085" t="str">
        <x:v>Показать один SKU по всем точкам</x:v>
      </x:c>
      <x:c r="J15" s="1085" t="str">
        <x:v>КМ / BI</x:v>
      </x:c>
    </x:row>
    <x:row r="16" ht="58" customHeight="1">
      <x:c r="A16" s="1085" t="str">
        <x:v>CATQ-02</x:v>
      </x:c>
      <x:c r="B16" s="1085" t="str">
        <x:v>Категорийный менеджер</x:v>
      </x:c>
      <x:c r="C16" s="1085" t="str">
        <x:v>Полнота данных</x:v>
      </x:c>
      <x:c r="D16" s="1085" t="str">
        <x:v>Состав точек и время обновления отчёта</x:v>
      </x:c>
      <x:c r="E16" s="1085" t="str">
        <x:v>Решение может приниматься по неполному срезу</x:v>
      </x:c>
      <x:c r="F16" s="1085" t="str">
        <x:v>P0</x:v>
      </x:c>
      <x:c r="G16" s="1085" t="str">
        <x:v>CAT-002,SCL-003</x:v>
      </x:c>
      <x:c r="H16" s="1085" t="str">
        <x:v>Подтверждено или частично подтверждено указанными источниками; детали и ограничения отмечены в реестре</x:v>
      </x:c>
      <x:c r="I16" s="1085" t="str">
        <x:v>Тест пропуска магазина и повторной загрузки</x:v>
      </x:c>
      <x:c r="J16" s="1085" t="str">
        <x:v>ИТ / BI</x:v>
      </x:c>
    </x:row>
    <x:row r="17" ht="58" customHeight="1">
      <x:c r="A17" s="1085" t="str">
        <x:v>CATQ-03</x:v>
      </x:c>
      <x:c r="B17" s="1085" t="str">
        <x:v>Категорийный менеджер</x:v>
      </x:c>
      <x:c r="C17" s="1085" t="str">
        <x:v>Карточка SKU</x:v>
      </x:c>
      <x:c r="D17" s="1085" t="str">
        <x:v>Одна карточка, упаковки, штрихкоды и история</x:v>
      </x:c>
      <x:c r="E17" s="1085" t="str">
        <x:v>Не установлен мастер и правила сопоставления</x:v>
      </x:c>
      <x:c r="F17" s="1085" t="str">
        <x:v>P0</x:v>
      </x:c>
      <x:c r="G17" s="1085" t="str">
        <x:v>MDM-001,MDM-004</x:v>
      </x:c>
      <x:c r="H17" s="1085" t="str">
        <x:v>Подтверждено или частично подтверждено указанными источниками; детали и ограничения отмечены в реестре</x:v>
      </x:c>
      <x:c r="I17" s="1085" t="str">
        <x:v>Новый и проблемный SKU от файла до кассы</x:v>
      </x:c>
      <x:c r="J17" s="1085" t="str">
        <x:v>Владелец НСИ</x:v>
      </x:c>
    </x:row>
    <x:row r="18" ht="58" customHeight="1">
      <x:c r="A18" s="1085" t="str">
        <x:v>CATQ-04</x:v>
      </x:c>
      <x:c r="B18" s="1085" t="str">
        <x:v>Категорийный менеджер</x:v>
      </x:c>
      <x:c r="C18" s="1085" t="str">
        <x:v>Расчёт заказа</x:v>
      </x:c>
      <x:c r="D18" s="1085" t="str">
        <x:v>Объяснимая рекомендация с MOQ, кратностью и товаром в пути</x:v>
      </x:c>
      <x:c r="E18" s="1085" t="str">
        <x:v>Количество корректируется вручную; формула не показана</x:v>
      </x:c>
      <x:c r="F18" s="1085" t="str">
        <x:v>P0</x:v>
      </x:c>
      <x:c r="G18" s="1085" t="str">
        <x:v>ORD-001,ORD-004</x:v>
      </x:c>
      <x:c r="H18" s="1085" t="str">
        <x:v>Подтверждено или частично подтверждено указанными источниками; детали и ограничения отмечены в реестре</x:v>
      </x:c>
      <x:c r="I18" s="1085" t="str">
        <x:v>Сверить 30–50 SKU со старым Excel</x:v>
      </x:c>
      <x:c r="J18" s="1085" t="str">
        <x:v>Руководитель КМ</x:v>
      </x:c>
    </x:row>
    <x:row r="19" ht="58" customHeight="1">
      <x:c r="A19" s="1085" t="str">
        <x:v>CATQ-05</x:v>
      </x:c>
      <x:c r="B19" s="1085" t="str">
        <x:v>Категорийный менеджер</x:v>
      </x:c>
      <x:c r="C19" s="1085" t="str">
        <x:v>Ручная корректировка</x:v>
      </x:c>
      <x:c r="D19" s="1085" t="str">
        <x:v>История автора, причины и нового количества</x:v>
      </x:c>
      <x:c r="E19" s="1085" t="str">
        <x:v>Версии заказа передаются через чат</x:v>
      </x:c>
      <x:c r="F19" s="1085" t="str">
        <x:v>P0</x:v>
      </x:c>
      <x:c r="G19" s="1085" t="str">
        <x:v>ORD-005,CAT-008</x:v>
      </x:c>
      <x:c r="H19" s="1085" t="str">
        <x:v>Подтверждено или частично подтверждено указанными источниками; детали и ограничения отмечены в реестре</x:v>
      </x:c>
      <x:c r="I19" s="1085" t="str">
        <x:v>Проверить историю одного заказа</x:v>
      </x:c>
      <x:c r="J19" s="1085" t="str">
        <x:v>КМ / закупки</x:v>
      </x:c>
    </x:row>
    <x:row r="20" ht="58" customHeight="1">
      <x:c r="A20" s="1085" t="str">
        <x:v>CATQ-06</x:v>
      </x:c>
      <x:c r="B20" s="1085" t="str">
        <x:v>Категорийный менеджер</x:v>
      </x:c>
      <x:c r="C20" s="1085" t="str">
        <x:v>Поставщик</x:v>
      </x:c>
      <x:c r="D20" s="1085" t="str">
        <x:v>MOQ, lead time, цена, дата и изменения поставки в системе</x:v>
      </x:c>
      <x:c r="E20" s="1085" t="str">
        <x:v>Параметры находятся в файлах и переписке</x:v>
      </x:c>
      <x:c r="F20" s="1085" t="str">
        <x:v>P1</x:v>
      </x:c>
      <x:c r="G20" s="1085" t="str">
        <x:v>SUP-001,SUP-004</x:v>
      </x:c>
      <x:c r="H20" s="1085" t="str">
        <x:v>Подтверждено или частично подтверждено указанными источниками; детали и ограничения отмечены в реестре</x:v>
      </x:c>
      <x:c r="I20" s="1085" t="str">
        <x:v>Сверить три поставщика и один заказ</x:v>
      </x:c>
      <x:c r="J20" s="1085" t="str">
        <x:v>Закупки</x:v>
      </x:c>
    </x:row>
    <x:row r="21" ht="58" customHeight="1">
      <x:c r="A21" s="1085" t="str">
        <x:v>CATQ-07</x:v>
      </x:c>
      <x:c r="B21" s="1085" t="str">
        <x:v>Категорийный менеджер</x:v>
      </x:c>
      <x:c r="C21" s="1085" t="str">
        <x:v>Новинки</x:v>
      </x:c>
      <x:c r="D21" s="1085" t="str">
        <x:v>Статус сопоставить / создать / не покупать</x:v>
      </x:c>
      <x:c r="E21" s="1085" t="str">
        <x:v>Новая позиция может потеряться или создать дубль</x:v>
      </x:c>
      <x:c r="F21" s="1085" t="str">
        <x:v>P0</x:v>
      </x:c>
      <x:c r="G21" s="1085" t="str">
        <x:v>MDM-006,IMP-012</x:v>
      </x:c>
      <x:c r="H21" s="1085" t="str">
        <x:v>Подтверждено или частично подтверждено указанными источниками; детали и ограничения отмечены в реестре</x:v>
      </x:c>
      <x:c r="I21" s="1085" t="str">
        <x:v>Golden-файл с новинкой и UAT</x:v>
      </x:c>
      <x:c r="J21" s="1085" t="str">
        <x:v>КМ / НСИ</x:v>
      </x:c>
    </x:row>
    <x:row r="22" ht="58" customHeight="1">
      <x:c r="A22" s="1085" t="str">
        <x:v>CATQ-08</x:v>
      </x:c>
      <x:c r="B22" s="1085" t="str">
        <x:v>Категорийный менеджер</x:v>
      </x:c>
      <x:c r="C22" s="1085" t="str">
        <x:v>Цена и маржа</x:v>
      </x:c>
      <x:c r="D22" s="1085" t="str">
        <x:v>Полная себестоимость и утверждённая формула</x:v>
      </x:c>
      <x:c r="E22" s="1085" t="str">
        <x:v>Порог 20% и база расчёта не подтверждены</x:v>
      </x:c>
      <x:c r="F22" s="1085" t="str">
        <x:v>P0</x:v>
      </x:c>
      <x:c r="G22" s="1085" t="str">
        <x:v>PRC-001,PRC-004</x:v>
      </x:c>
      <x:c r="H22" s="1085" t="str">
        <x:v>Подтверждено или частично подтверждено указанными источниками; детали и ограничения отмечены в реестре</x:v>
      </x:c>
      <x:c r="I22" s="1085" t="str">
        <x:v>Утвердить формулу на 3–5 SKU</x:v>
      </x:c>
      <x:c r="J22" s="1085" t="str">
        <x:v>Финансы / коммерция</x:v>
      </x:c>
    </x:row>
    <x:row r="23" ht="58" customHeight="1">
      <x:c r="A23" s="1085" t="str">
        <x:v>CATQ-09</x:v>
      </x:c>
      <x:c r="B23" s="1085" t="str">
        <x:v>Категорийный менеджер</x:v>
      </x:c>
      <x:c r="C23" s="1085" t="str">
        <x:v>Распределение</x:v>
      </x:c>
      <x:c r="D23" s="1085" t="str">
        <x:v>Прозрачные правила дефицитного распределения</x:v>
      </x:c>
      <x:c r="E23" s="1085" t="str">
        <x:v>Решение зависит от личной экспертной оценки</x:v>
      </x:c>
      <x:c r="F23" s="1085" t="str">
        <x:v>P1</x:v>
      </x:c>
      <x:c r="G23" s="1085" t="str">
        <x:v>WH-012,CAT-012</x:v>
      </x:c>
      <x:c r="H23" s="1085" t="str">
        <x:v>Подтверждено или частично подтверждено указанными источниками; детали и ограничения отмечены в реестре</x:v>
      </x:c>
      <x:c r="I23" s="1085" t="str">
        <x:v>Одна дефицитная поставка по трём точкам</x:v>
      </x:c>
      <x:c r="J23" s="1085" t="str">
        <x:v>КМ / розница</x:v>
      </x:c>
    </x:row>
    <x:row r="24" ht="58" customHeight="1">
      <x:c r="A24" s="1085" t="str">
        <x:v>CATQ-10</x:v>
      </x:c>
      <x:c r="B24" s="1085" t="str">
        <x:v>Категорийный менеджер</x:v>
      </x:c>
      <x:c r="C24" s="1085" t="str">
        <x:v>Приёмка</x:v>
      </x:c>
      <x:c r="D24" s="1085" t="str">
        <x:v>Результат поставки и расхождения связан с заказом</x:v>
      </x:c>
      <x:c r="E24" s="1085" t="str">
        <x:v>Физическая приёмка показана не полностью</x:v>
      </x:c>
      <x:c r="F24" s="1085" t="str">
        <x:v>P1</x:v>
      </x:c>
      <x:c r="G24" s="1085" t="str">
        <x:v>RCV-001,RCV-010</x:v>
      </x:c>
      <x:c r="H24" s="1085" t="str">
        <x:v>Подтверждено или частично подтверждено указанными источниками; детали и ограничения отмечены в реестре</x:v>
      </x:c>
      <x:c r="I24" s="1085" t="str">
        <x:v>Реальная поставка через staging</x:v>
      </x:c>
      <x:c r="J24" s="1085" t="str">
        <x:v>Склад / КМ</x:v>
      </x:c>
    </x:row>
    <x:row r="25" ht="58" customHeight="1">
      <x:c r="A25" s="1085" t="str">
        <x:v>CATQ-11</x:v>
      </x:c>
      <x:c r="B25" s="1085" t="str">
        <x:v>Категорийный менеджер</x:v>
      </x:c>
      <x:c r="C25" s="1085" t="str">
        <x:v>Исключения</x:v>
      </x:c>
      <x:c r="D25" s="1085" t="str">
        <x:v>Рабочая очередь отклонений вместо ручной проверки строк</x:v>
      </x:c>
      <x:c r="E25" s="1085" t="str">
        <x:v>Контроль зависит от памяти, Excel и чатов</x:v>
      </x:c>
      <x:c r="F25" s="1085" t="str">
        <x:v>P2</x:v>
      </x:c>
      <x:c r="G25" s="1085" t="str">
        <x:v>CAT-019,NFR-011</x:v>
      </x:c>
      <x:c r="H25" s="1085" t="str">
        <x:v>Подтверждено или частично подтверждено указанными источниками; детали и ограничения отмечены в реестре</x:v>
      </x:c>
      <x:c r="I25" s="1085" t="str">
        <x:v>Проверить SLA пяти типов исключений</x:v>
      </x:c>
      <x:c r="J25" s="1085" t="str">
        <x:v>КМ / координатор</x:v>
      </x:c>
    </x:row>
    <x:row r="26" ht="58" customHeight="1">
      <x:c r="A26" s="1085" t="str">
        <x:v>CATQ-12</x:v>
      </x:c>
      <x:c r="B26" s="1085" t="str">
        <x:v>Категорийный менеджер</x:v>
      </x:c>
      <x:c r="C26" s="1085" t="str">
        <x:v>Роль</x:v>
      </x:c>
      <x:c r="D26" s="1085" t="str">
        <x:v>Разделить коммерческое решение и складскую корректировку</x:v>
      </x:c>
      <x:c r="E26" s="1085" t="str">
        <x:v>Складские полномочия не подтверждены</x:v>
      </x:c>
      <x:c r="F26" s="1085" t="str">
        <x:v>P1</x:v>
      </x:c>
      <x:c r="G26" s="1085" t="str">
        <x:v>ORG-006,CAT-018</x:v>
      </x:c>
      <x:c r="H26" s="1085" t="str">
        <x:v>Подтверждено или частично подтверждено указанными источниками; детали и ограничения отмечены в реестре</x:v>
      </x:c>
      <x:c r="I26" s="1085" t="str">
        <x:v>Утвердить RACI и полномочия</x:v>
      </x:c>
      <x:c r="J26" s="1085" t="str">
        <x:v>Собственник / HR</x:v>
      </x:c>
    </x:row>
    <x:row r="27" ht="58" customHeight="1">
      <x:c r="A27" s="1086" t="str">
        <x:v>FINQ-01</x:v>
      </x:c>
      <x:c r="B27" s="1086" t="str">
        <x:v>Финансовый директор</x:v>
      </x:c>
      <x:c r="C27" s="1086" t="str">
        <x:v>Обмены</x:v>
      </x:c>
      <x:c r="D27" s="1086" t="str">
        <x:v>Документ считается загруженным после проведения или исключения</x:v>
      </x:c>
      <x:c r="E27" s="1086" t="str">
        <x:v>Записанные, но непроведённые документы искажают результат</x:v>
      </x:c>
      <x:c r="F27" s="1086" t="str">
        <x:v>P0</x:v>
      </x:c>
      <x:c r="G27" s="1086" t="str">
        <x:v>FIN-001,FIN-002</x:v>
      </x:c>
      <x:c r="H27" s="1086" t="str">
        <x:v>Подтверждено или частично подтверждено указанными источниками; детали и ограничения отмечены в реестре</x:v>
      </x:c>
      <x:c r="I27" s="1086" t="str">
        <x:v>Сверить статусы на одном дне</x:v>
      </x:c>
      <x:c r="J27" s="1086" t="str">
        <x:v>ИТ / финансы</x:v>
      </x:c>
    </x:row>
    <x:row r="28" ht="58" customHeight="1">
      <x:c r="A28" s="1086" t="str">
        <x:v>FINQ-02</x:v>
      </x:c>
      <x:c r="B28" s="1086" t="str">
        <x:v>Финансовый директор</x:v>
      </x:c>
      <x:c r="C28" s="1086" t="str">
        <x:v>Мастер-данные</x:v>
      </x:c>
      <x:c r="D28" s="1086" t="str">
        <x:v>Таблица соответствий организаций, магазинов, касс, складов и SKU</x:v>
      </x:c>
      <x:c r="E28" s="1086" t="str">
        <x:v>Несопоставленные аналитики создают ручные исправления</x:v>
      </x:c>
      <x:c r="F28" s="1086" t="str">
        <x:v>P0</x:v>
      </x:c>
      <x:c r="G28" s="1086" t="str">
        <x:v>FIN-003,DAT-004</x:v>
      </x:c>
      <x:c r="H28" s="1086" t="str">
        <x:v>Подтверждено или частично подтверждено указанными источниками; детали и ограничения отмечены в реестре</x:v>
      </x:c>
      <x:c r="I28" s="1086" t="str">
        <x:v>Контроль Уссурийска и 20 объектов</x:v>
      </x:c>
      <x:c r="J28" s="1086" t="str">
        <x:v>Владелец НСИ</x:v>
      </x:c>
    </x:row>
    <x:row r="29" ht="58" customHeight="1">
      <x:c r="A29" s="1086" t="str">
        <x:v>FINQ-03</x:v>
      </x:c>
      <x:c r="B29" s="1086" t="str">
        <x:v>Финансовый директор</x:v>
      </x:c>
      <x:c r="C29" s="1086" t="str">
        <x:v>Повторный запуск</x:v>
      </x:c>
      <x:c r="D29" s="1086" t="str">
        <x:v>Идемпотентный повтор обмена без дублей</x:v>
      </x:c>
      <x:c r="E29" s="1086" t="str">
        <x:v>Ручные повторы могут создавать дубли</x:v>
      </x:c>
      <x:c r="F29" s="1086" t="str">
        <x:v>P0</x:v>
      </x:c>
      <x:c r="G29" s="1086" t="str">
        <x:v>FIN-004,NFR-002</x:v>
      </x:c>
      <x:c r="H29" s="1086" t="str">
        <x:v>Подтверждено или частично подтверждено указанными источниками; детали и ограничения отмечены в реестре</x:v>
      </x:c>
      <x:c r="I29" s="1086" t="str">
        <x:v>Дважды загрузить один пакет</x:v>
      </x:c>
      <x:c r="J29" s="1086" t="str">
        <x:v>ИТ</x:v>
      </x:c>
    </x:row>
    <x:row r="30" ht="58" customHeight="1">
      <x:c r="A30" s="1086" t="str">
        <x:v>FINQ-04</x:v>
      </x:c>
      <x:c r="B30" s="1086" t="str">
        <x:v>Финансовый директор</x:v>
      </x:c>
      <x:c r="C30" s="1086" t="str">
        <x:v>Подразделения</x:v>
      </x:c>
      <x:c r="D30" s="1086" t="str">
        <x:v>Каждая операция попадает в правильный магазин</x:v>
      </x:c>
      <x:c r="E30" s="1086" t="str">
        <x:v>P&amp;L содержит «Подразделение не указано»</x:v>
      </x:c>
      <x:c r="F30" s="1086" t="str">
        <x:v>P0</x:v>
      </x:c>
      <x:c r="G30" s="1086" t="str">
        <x:v>FIN-005,FIN-006</x:v>
      </x:c>
      <x:c r="H30" s="1086" t="str">
        <x:v>Подтверждено или частично подтверждено указанными источниками; детали и ограничения отмечены в реестре</x:v>
      </x:c>
      <x:c r="I30" s="1086" t="str">
        <x:v>Очистить контрольный месяц</x:v>
      </x:c>
      <x:c r="J30" s="1086" t="str">
        <x:v>Финансы / ИТ</x:v>
      </x:c>
    </x:row>
    <x:row r="31" ht="58" customHeight="1">
      <x:c r="A31" s="1086" t="str">
        <x:v>FINQ-05</x:v>
      </x:c>
      <x:c r="B31" s="1086" t="str">
        <x:v>Финансовый директор</x:v>
      </x:c>
      <x:c r="C31" s="1086" t="str">
        <x:v>Закрытие месяца</x:v>
      </x:c>
      <x:c r="D31" s="1086" t="str">
        <x:v>Календарь и входные ворота закрытия</x:v>
      </x:c>
      <x:c r="E31" s="1086" t="str">
        <x:v>Месяц многократно открывается после поздних исправлений</x:v>
      </x:c>
      <x:c r="F31" s="1086" t="str">
        <x:v>P0</x:v>
      </x:c>
      <x:c r="G31" s="1086" t="str">
        <x:v>FIN-007,FIN-008</x:v>
      </x:c>
      <x:c r="H31" s="1086" t="str">
        <x:v>Подтверждено или частично подтверждено указанными источниками; детали и ограничения отмечены в реестре</x:v>
      </x:c>
      <x:c r="I31" s="1086" t="str">
        <x:v>Протокол одного закрытия</x:v>
      </x:c>
      <x:c r="J31" s="1086" t="str">
        <x:v>Финдиректор</x:v>
      </x:c>
    </x:row>
    <x:row r="32" ht="58" customHeight="1">
      <x:c r="A32" s="1086" t="str">
        <x:v>FINQ-06</x:v>
      </x:c>
      <x:c r="B32" s="1086" t="str">
        <x:v>Финансовый директор</x:v>
      </x:c>
      <x:c r="C32" s="1086" t="str">
        <x:v>Отрицательные остатки</x:v>
      </x:c>
      <x:c r="D32" s="1086" t="str">
        <x:v>Реестр причин, владельцев и сроков</x:v>
      </x:c>
      <x:c r="E32" s="1086" t="str">
        <x:v>Ручной Excel-разбор влияет на себестоимость</x:v>
      </x:c>
      <x:c r="F32" s="1086" t="str">
        <x:v>P0</x:v>
      </x:c>
      <x:c r="G32" s="1086" t="str">
        <x:v>FIN-010,STK-003</x:v>
      </x:c>
      <x:c r="H32" s="1086" t="str">
        <x:v>Подтверждено или частично подтверждено указанными источниками; детали и ограничения отмечены в реестре</x:v>
      </x:c>
      <x:c r="I32" s="1086" t="str">
        <x:v>Закрыть 20 минусов документально</x:v>
      </x:c>
      <x:c r="J32" s="1086" t="str">
        <x:v>Финансы / склад</x:v>
      </x:c>
    </x:row>
    <x:row r="33" ht="58" customHeight="1">
      <x:c r="A33" s="1086" t="str">
        <x:v>FINQ-07</x:v>
      </x:c>
      <x:c r="B33" s="1086" t="str">
        <x:v>Финансовый директор</x:v>
      </x:c>
      <x:c r="C33" s="1086" t="str">
        <x:v>Себестоимость</x:v>
      </x:c>
      <x:c r="D33" s="1086" t="str">
        <x:v>Источник полной себестоимости и распределения расходов</x:v>
      </x:c>
      <x:c r="E33" s="1086" t="str">
        <x:v>Стоимость ищется и корректируется вручную</x:v>
      </x:c>
      <x:c r="F33" s="1086" t="str">
        <x:v>P0</x:v>
      </x:c>
      <x:c r="G33" s="1086" t="str">
        <x:v>FIN-012,FIN-013</x:v>
      </x:c>
      <x:c r="H33" s="1086" t="str">
        <x:v>Подтверждено или частично подтверждено указанными источниками; детали и ограничения отмечены в реестре</x:v>
      </x:c>
      <x:c r="I33" s="1086" t="str">
        <x:v>Сверить три импортные партии</x:v>
      </x:c>
      <x:c r="J33" s="1086" t="str">
        <x:v>Финдиректор / закупки</x:v>
      </x:c>
    </x:row>
    <x:row r="34" ht="58" customHeight="1">
      <x:c r="A34" s="1086" t="str">
        <x:v>FINQ-08</x:v>
      </x:c>
      <x:c r="B34" s="1086" t="str">
        <x:v>Финансовый директор</x:v>
      </x:c>
      <x:c r="C34" s="1086" t="str">
        <x:v>P&amp;L</x:v>
      </x:c>
      <x:c r="D34" s="1086" t="str">
        <x:v>P&amp;L по начислению с расшифровкой и официальной версией</x:v>
      </x:c>
      <x:c r="E34" s="1086" t="str">
        <x:v>Методика и ручная сборка не дают устойчивого результата</x:v>
      </x:c>
      <x:c r="F34" s="1086" t="str">
        <x:v>P0</x:v>
      </x:c>
      <x:c r="G34" s="1086" t="str">
        <x:v>FIN-019,FIN-020</x:v>
      </x:c>
      <x:c r="H34" s="1086" t="str">
        <x:v>Подтверждено или частично подтверждено указанными источниками; детали и ограничения отмечены в реестре</x:v>
      </x:c>
      <x:c r="I34" s="1086" t="str">
        <x:v>Сверить один месяц до документов</x:v>
      </x:c>
      <x:c r="J34" s="1086" t="str">
        <x:v>Финдиректор</x:v>
      </x:c>
    </x:row>
    <x:row r="35" ht="58" customHeight="1">
      <x:c r="A35" s="1086" t="str">
        <x:v>FINQ-09</x:v>
      </x:c>
      <x:c r="B35" s="1086" t="str">
        <x:v>Финансовый директор</x:v>
      </x:c>
      <x:c r="C35" s="1086" t="str">
        <x:v>Казначейство</x:v>
      </x:c>
      <x:c r="D35" s="1086" t="str">
        <x:v>Единый вход заявок, статусы и план-факт банка</x:v>
      </x:c>
      <x:c r="E35" s="1086" t="str">
        <x:v>Заявки приходят по разным каналам</x:v>
      </x:c>
      <x:c r="F35" s="1086" t="str">
        <x:v>P1</x:v>
      </x:c>
      <x:c r="G35" s="1086" t="str">
        <x:v>FIN-014,FIN-015</x:v>
      </x:c>
      <x:c r="H35" s="1086" t="str">
        <x:v>Подтверждено или частично подтверждено указанными источниками; детали и ограничения отмечены в реестре</x:v>
      </x:c>
      <x:c r="I35" s="1086" t="str">
        <x:v>Провести 10 заявок сквозным тестом</x:v>
      </x:c>
      <x:c r="J35" s="1086" t="str">
        <x:v>Финдиректор / казначей</x:v>
      </x:c>
    </x:row>
    <x:row r="36" ht="58" customHeight="1">
      <x:c r="A36" s="1086" t="str">
        <x:v>FINQ-10</x:v>
      </x:c>
      <x:c r="B36" s="1086" t="str">
        <x:v>Финансовый директор</x:v>
      </x:c>
      <x:c r="C36" s="1086" t="str">
        <x:v>Отгрузка</x:v>
      </x:c>
      <x:c r="D36" s="1086" t="str">
        <x:v>Признавать оптовую выручку по факту отгрузки</x:v>
      </x:c>
      <x:c r="E36" s="1086" t="str">
        <x:v>Проведённая реализация не всегда означает отгрузку</x:v>
      </x:c>
      <x:c r="F36" s="1086" t="str">
        <x:v>P0</x:v>
      </x:c>
      <x:c r="G36" s="1086" t="str">
        <x:v>FIN-021,OPS-002</x:v>
      </x:c>
      <x:c r="H36" s="1086" t="str">
        <x:v>Подтверждено или частично подтверждено указанными источниками; детали и ограничения отмечены в реестре</x:v>
      </x:c>
      <x:c r="I36" s="1086" t="str">
        <x:v>Сверить реализацию и складской факт</x:v>
      </x:c>
      <x:c r="J36" s="1086" t="str">
        <x:v>Продажи / склад / финансы</x:v>
      </x:c>
    </x:row>
    <x:row r="37" ht="58" customHeight="1">
      <x:c r="A37" s="1086" t="str">
        <x:v>FINQ-11</x:v>
      </x:c>
      <x:c r="B37" s="1086" t="str">
        <x:v>Финансовый директор</x:v>
      </x:c>
      <x:c r="C37" s="1086" t="str">
        <x:v>Поддержка</x:v>
      </x:c>
      <x:c r="D37" s="1086" t="str">
        <x:v>ID, владелец, срок и UAT для ИТ-задач</x:v>
      </x:c>
      <x:c r="E37" s="1086" t="str">
        <x:v>Дефекты повторяются, статус непрозрачен</x:v>
      </x:c>
      <x:c r="F37" s="1086" t="str">
        <x:v>P1</x:v>
      </x:c>
      <x:c r="G37" s="1086" t="str">
        <x:v>GOV-002,NFR-014</x:v>
      </x:c>
      <x:c r="H37" s="1086" t="str">
        <x:v>Подтверждено или частично подтверждено указанными источниками; детали и ограничения отмечены в реестре</x:v>
      </x:c>
      <x:c r="I37" s="1086" t="str">
        <x:v>Проверить 10 задач</x:v>
      </x:c>
      <x:c r="J37" s="1086" t="str">
        <x:v>Координатор / ИТ</x:v>
      </x:c>
    </x:row>
    <x:row r="38" ht="58" customHeight="1">
      <x:c r="A38" s="1086" t="str">
        <x:v>FINQ-12</x:v>
      </x:c>
      <x:c r="B38" s="1086" t="str">
        <x:v>Финансовый директор</x:v>
      </x:c>
      <x:c r="C38" s="1086" t="str">
        <x:v>Доступы</x:v>
      </x:c>
      <x:c r="D38" s="1086" t="str">
        <x:v>Ограничить финансовые таблицы и выгрузки</x:v>
      </x:c>
      <x:c r="E38" s="1086" t="str">
        <x:v>Чувствительные данные живут в локальных файлах и ссылках</x:v>
      </x:c>
      <x:c r="F38" s="1086" t="str">
        <x:v>P1</x:v>
      </x:c>
      <x:c r="G38" s="1086" t="str">
        <x:v>NFR-006,NFR-007</x:v>
      </x:c>
      <x:c r="H38" s="1086" t="str">
        <x:v>Подтверждено или частично подтверждено указанными источниками; детали и ограничения отмечены в реестре</x:v>
      </x:c>
      <x:c r="I38" s="1086" t="str">
        <x:v>Матрица ролей и проверка отзыва</x:v>
      </x:c>
      <x:c r="J38" s="1086" t="str">
        <x:v>ИТ / data owner</x:v>
      </x:c>
    </x:row>
    <x:row r="39" ht="58" customHeight="1">
      <x:c r="A39" s="1087" t="str">
        <x:v>SCLQ-01</x:v>
      </x:c>
      <x:c r="B39" s="1087" t="str">
        <x:v>Соучредитель — масштабирование и розница</x:v>
      </x:c>
      <x:c r="C39" s="1087" t="str">
        <x:v>Стратегический обзор</x:v>
      </x:c>
      <x:c r="D39" s="1087" t="str">
        <x:v>Сопоставимая картина по двум и будущим регионам</x:v>
      </x:c>
      <x:c r="E39" s="1087" t="str">
        <x:v>Срезы приходится собирать из разных источников</x:v>
      </x:c>
      <x:c r="F39" s="1087" t="str">
        <x:v>P0</x:v>
      </x:c>
      <x:c r="G39" s="1087" t="str">
        <x:v>SCL-001,SCL-002</x:v>
      </x:c>
      <x:c r="H39" s="1087" t="str">
        <x:v>Подтверждено или частично подтверждено указанными источниками; детали и ограничения отмечены в реестре</x:v>
      </x:c>
      <x:c r="I39" s="1087" t="str">
        <x:v>Единый экран на контрольном месяце</x:v>
      </x:c>
      <x:c r="J39" s="1087" t="str">
        <x:v>Соучредитель / BI</x:v>
      </x:c>
    </x:row>
    <x:row r="40" ht="58" customHeight="1">
      <x:c r="A40" s="1087" t="str">
        <x:v>SCLQ-02</x:v>
      </x:c>
      <x:c r="B40" s="1087" t="str">
        <x:v>Соучредитель — масштабирование и розница</x:v>
      </x:c>
      <x:c r="C40" s="1087" t="str">
        <x:v>Точки входа</x:v>
      </x:c>
      <x:c r="D40" s="1087" t="str">
        <x:v>Карта источников и правил загрузки в BI</x:v>
      </x:c>
      <x:c r="E40" s="1087" t="str">
        <x:v>Технические точки входа и владельцы не зафиксированы</x:v>
      </x:c>
      <x:c r="F40" s="1087" t="str">
        <x:v>P0</x:v>
      </x:c>
      <x:c r="G40" s="1087" t="str">
        <x:v>SCL-002,SCL-003</x:v>
      </x:c>
      <x:c r="H40" s="1087" t="str">
        <x:v>Подтверждено или частично подтверждено указанными источниками; детали и ограничения отмечены в реестре</x:v>
      </x:c>
      <x:c r="I40" s="1087" t="str">
        <x:v>Карта полей, расписаний и владельцев</x:v>
      </x:c>
      <x:c r="J40" s="1087" t="str">
        <x:v>ИТ / data owner</x:v>
      </x:c>
    </x:row>
    <x:row r="41" ht="58" customHeight="1">
      <x:c r="A41" s="1087" t="str">
        <x:v>SCLQ-03</x:v>
      </x:c>
      <x:c r="B41" s="1087" t="str">
        <x:v>Соучредитель — масштабирование и розница</x:v>
      </x:c>
      <x:c r="C41" s="1087" t="str">
        <x:v>История данных</x:v>
      </x:c>
      <x:c r="D41" s="1087" t="str">
        <x:v>Срез на дату без затирания истории</x:v>
      </x:c>
      <x:c r="E41" s="1087" t="str">
        <x:v>Без версионности нельзя сравнивать периоды</x:v>
      </x:c>
      <x:c r="F41" s="1087" t="str">
        <x:v>P0</x:v>
      </x:c>
      <x:c r="G41" s="1087" t="str">
        <x:v>SCL-002,NFR-008</x:v>
      </x:c>
      <x:c r="H41" s="1087" t="str">
        <x:v>Подтверждено или частично подтверждено указанными источниками; детали и ограничения отмечены в реестре</x:v>
      </x:c>
      <x:c r="I41" s="1087" t="str">
        <x:v>Проверить до/после изменения НСИ</x:v>
      </x:c>
      <x:c r="J41" s="1087" t="str">
        <x:v>Data owner / BI</x:v>
      </x:c>
    </x:row>
    <x:row r="42" ht="58" customHeight="1">
      <x:c r="A42" s="1087" t="str">
        <x:v>SCLQ-04</x:v>
      </x:c>
      <x:c r="B42" s="1087" t="str">
        <x:v>Соучредитель — масштабирование и розница</x:v>
      </x:c>
      <x:c r="C42" s="1087" t="str">
        <x:v>Полнота</x:v>
      </x:c>
      <x:c r="D42" s="1087" t="str">
        <x:v>Статус каждого региона и магазина</x:v>
      </x:c>
      <x:c r="E42" s="1087" t="str">
        <x:v>Суммарный отчёт может скрывать пропуск точки</x:v>
      </x:c>
      <x:c r="F42" s="1087" t="str">
        <x:v>P0</x:v>
      </x:c>
      <x:c r="G42" s="1087" t="str">
        <x:v>SCL-003</x:v>
      </x:c>
      <x:c r="H42" s="1087" t="str">
        <x:v>Подтверждено или частично подтверждено указанными источниками; детали и ограничения отмечены в реестре</x:v>
      </x:c>
      <x:c r="I42" s="1087" t="str">
        <x:v>Тест пропуска узла</x:v>
      </x:c>
      <x:c r="J42" s="1087" t="str">
        <x:v>ИТ / BI</x:v>
      </x:c>
    </x:row>
    <x:row r="43" ht="58" customHeight="1">
      <x:c r="A43" s="1087" t="str">
        <x:v>SCLQ-05</x:v>
      </x:c>
      <x:c r="B43" s="1087" t="str">
        <x:v>Соучредитель — масштабирование и розница</x:v>
      </x:c>
      <x:c r="C43" s="1087" t="str">
        <x:v>Стандарт запуска</x:v>
      </x:c>
      <x:c r="D43" s="1087" t="str">
        <x:v>Один чек-лист и шаблон новой точки</x:v>
      </x:c>
      <x:c r="E43" s="1087" t="str">
        <x:v>Готовность проверяется неодинаково</x:v>
      </x:c>
      <x:c r="F43" s="1087" t="str">
        <x:v>P0</x:v>
      </x:c>
      <x:c r="G43" s="1087" t="str">
        <x:v>SCL-004,SCL-005</x:v>
      </x:c>
      <x:c r="H43" s="1087" t="str">
        <x:v>Подтверждено или частично подтверждено указанными источниками; детали и ограничения отмечены в реестре</x:v>
      </x:c>
      <x:c r="I43" s="1087" t="str">
        <x:v>Пилот чек-листа на одной точке</x:v>
      </x:c>
      <x:c r="J43" s="1087" t="str">
        <x:v>Розница / ИТ</x:v>
      </x:c>
    </x:row>
    <x:row r="44" ht="58" customHeight="1">
      <x:c r="A44" s="1087" t="str">
        <x:v>SCLQ-06</x:v>
      </x:c>
      <x:c r="B44" s="1087" t="str">
        <x:v>Соучредитель — масштабирование и розница</x:v>
      </x:c>
      <x:c r="C44" s="1087" t="str">
        <x:v>Автономность</x:v>
      </x:c>
      <x:c r="D44" s="1087" t="str">
        <x:v>Продажи при проблемах связи и безопасная досинхронизация</x:v>
      </x:c>
      <x:c r="E44" s="1087" t="str">
        <x:v>Централизация не должна останавливать магазин</x:v>
      </x:c>
      <x:c r="F44" s="1087" t="str">
        <x:v>P1</x:v>
      </x:c>
      <x:c r="G44" s="1087" t="str">
        <x:v>RET-003,SCL-008</x:v>
      </x:c>
      <x:c r="H44" s="1087" t="str">
        <x:v>Подтверждено или частично подтверждено указанными источниками; детали и ограничения отмечены в реестре</x:v>
      </x:c>
      <x:c r="I44" s="1087" t="str">
        <x:v>Business continuity тест</x:v>
      </x:c>
      <x:c r="J44" s="1087" t="str">
        <x:v>Розница / ИТ</x:v>
      </x:c>
    </x:row>
    <x:row r="45" ht="58" customHeight="1">
      <x:c r="A45" s="1087" t="str">
        <x:v>SCLQ-07</x:v>
      </x:c>
      <x:c r="B45" s="1087" t="str">
        <x:v>Соучредитель — масштабирование и розница</x:v>
      </x:c>
      <x:c r="C45" s="1087" t="str">
        <x:v>Центральные правила</x:v>
      </x:c>
      <x:c r="D45" s="1087" t="str">
        <x:v>Центральные НСИ, цены и скидки с локальными исключениями</x:v>
      </x:c>
      <x:c r="E45" s="1087" t="str">
        <x:v>Границы региональных полномочий не определены</x:v>
      </x:c>
      <x:c r="F45" s="1087" t="str">
        <x:v>P1</x:v>
      </x:c>
      <x:c r="G45" s="1087" t="str">
        <x:v>SCL-006,SCL-007</x:v>
      </x:c>
      <x:c r="H45" s="1087" t="str">
        <x:v>Подтверждено или частично подтверждено указанными источниками; детали и ограничения отмечены в реестре</x:v>
      </x:c>
      <x:c r="I45" s="1087" t="str">
        <x:v>Матрица полномочий</x:v>
      </x:c>
      <x:c r="J45" s="1087" t="str">
        <x:v>Коммерция / ИТ</x:v>
      </x:c>
    </x:row>
    <x:row r="46" ht="58" customHeight="1">
      <x:c r="A46" s="1087" t="str">
        <x:v>SCLQ-08</x:v>
      </x:c>
      <x:c r="B46" s="1087" t="str">
        <x:v>Соучредитель — масштабирование и розница</x:v>
      </x:c>
      <x:c r="C46" s="1087" t="str">
        <x:v>Тиражирование</x:v>
      </x:c>
      <x:c r="D46" s="1087" t="str">
        <x:v>Не переносить ошибки и устаревшие расширения на сеть</x:v>
      </x:c>
      <x:c r="E46" s="1087" t="str">
        <x:v>Централизация увеличивает масштаб последствий</x:v>
      </x:c>
      <x:c r="F46" s="1087" t="str">
        <x:v>P0</x:v>
      </x:c>
      <x:c r="G46" s="1087" t="str">
        <x:v>SCL-008,CFG-001</x:v>
      </x:c>
      <x:c r="H46" s="1087" t="str">
        <x:v>Подтверждено или частично подтверждено указанными источниками; детали и ограничения отмечены в реестре</x:v>
      </x:c>
      <x:c r="I46" s="1087" t="str">
        <x:v>Dry-run и ограниченная первая волна</x:v>
      </x:c>
      <x:c r="J46" s="1087" t="str">
        <x:v>Архитектурный комитет</x:v>
      </x:c>
    </x:row>
    <x:row r="47" ht="58" customHeight="1">
      <x:c r="A47" s="1087" t="str">
        <x:v>SCLQ-09</x:v>
      </x:c>
      <x:c r="B47" s="1087" t="str">
        <x:v>Соучредитель — масштабирование и розница</x:v>
      </x:c>
      <x:c r="C47" s="1087" t="str">
        <x:v>Поддержка</x:v>
      </x:c>
      <x:c r="D47" s="1087" t="str">
        <x:v>Единый SLA для регионов и франчайзи</x:v>
      </x:c>
      <x:c r="E47" s="1087" t="str">
        <x:v>Обращения зависят от конкретных людей и чатов</x:v>
      </x:c>
      <x:c r="F47" s="1087" t="str">
        <x:v>P1</x:v>
      </x:c>
      <x:c r="G47" s="1087" t="str">
        <x:v>SCL-010</x:v>
      </x:c>
      <x:c r="H47" s="1087" t="str">
        <x:v>Подтверждено или частично подтверждено указанными источниками; детали и ограничения отмечены в реестре</x:v>
      </x:c>
      <x:c r="I47" s="1087" t="str">
        <x:v>Service Desk и анализ повторов</x:v>
      </x:c>
      <x:c r="J47" s="1087" t="str">
        <x:v>ИТ</x:v>
      </x:c>
    </x:row>
    <x:row r="48" ht="58" customHeight="1">
      <x:c r="A48" s="1087" t="str">
        <x:v>SCLQ-10</x:v>
      </x:c>
      <x:c r="B48" s="1087" t="str">
        <x:v>Соучредитель — масштабирование и розница</x:v>
      </x:c>
      <x:c r="C48" s="1087" t="str">
        <x:v>Сценарии роста</x:v>
      </x:c>
      <x:c r="D48" s="1087" t="str">
        <x:v>Оценка влияния открытия точек на ресурсы</x:v>
      </x:c>
      <x:c r="E48" s="1087" t="str">
        <x:v>Нет единой модели роста</x:v>
      </x:c>
      <x:c r="F48" s="1087" t="str">
        <x:v>P2</x:v>
      </x:c>
      <x:c r="G48" s="1087" t="str">
        <x:v>SCL-011</x:v>
      </x:c>
      <x:c r="H48" s="1087" t="str">
        <x:v>Подтверждено или частично подтверждено указанными источниками; детали и ограничения отмечены в реестре</x:v>
      </x:c>
      <x:c r="I48" s="1087" t="str">
        <x:v>Сценарий одного региона</x:v>
      </x:c>
      <x:c r="J48" s="1087" t="str">
        <x:v>Соучредитель / финансы</x:v>
      </x:c>
    </x:row>
    <x:row r="49" ht="58" customHeight="1">
      <x:c r="A49" s="1087" t="str">
        <x:v>SCLQ-11</x:v>
      </x:c>
      <x:c r="B49" s="1087" t="str">
        <x:v>Соучредитель — масштабирование и розница</x:v>
      </x:c>
      <x:c r="C49" s="1087" t="str">
        <x:v>От показателя к действию</x:v>
      </x:c>
      <x:c r="D49" s="1087" t="str">
        <x:v>Задача, владелец и срок по каждому отклонению</x:v>
      </x:c>
      <x:c r="E49" s="1087" t="str">
        <x:v>Отчёт сам по себе не меняет процесс</x:v>
      </x:c>
      <x:c r="F49" s="1087" t="str">
        <x:v>P0</x:v>
      </x:c>
      <x:c r="G49" s="1087" t="str">
        <x:v>SCL-012</x:v>
      </x:c>
      <x:c r="H49" s="1087" t="str">
        <x:v>Подтверждено или частично подтверждено указанными источниками; детали и ограничения отмечены в реестре</x:v>
      </x:c>
      <x:c r="I49" s="1087" t="str">
        <x:v>Пять отклонений → пять закрытых задач</x:v>
      </x:c>
      <x:c r="J49" s="1087" t="str">
        <x:v>Соучредитель / координатор</x:v>
      </x:c>
    </x:row>
    <x:row r="50" ht="58" customHeight="1">
      <x:c r="A50" s="1088" t="str">
        <x:v>OPSQ-01</x:v>
      </x:c>
      <x:c r="B50" s="1088" t="str">
        <x:v>Операционный директор — продажи</x:v>
      </x:c>
      <x:c r="C50" s="1088" t="str">
        <x:v>Ежедневный контроль</x:v>
      </x:c>
      <x:c r="D50" s="1088" t="str">
        <x:v>План/факт, маржа, возвраты и проблемные заказы в одном экране</x:v>
      </x:c>
      <x:c r="E50" s="1088" t="str">
        <x:v>Информация распределена по 1С, отчётам и чатам</x:v>
      </x:c>
      <x:c r="F50" s="1088" t="str">
        <x:v>P0</x:v>
      </x:c>
      <x:c r="G50" s="1088" t="str">
        <x:v>OPS-001</x:v>
      </x:c>
      <x:c r="H50" s="1088" t="str">
        <x:v>Подтверждено или частично подтверждено указанными источниками; детали и ограничения отмечены в реестре</x:v>
      </x:c>
      <x:c r="I50" s="1088" t="str">
        <x:v>Сверить день и три канала</x:v>
      </x:c>
      <x:c r="J50" s="1088" t="str">
        <x:v>Операционный директор</x:v>
      </x:c>
    </x:row>
    <x:row r="51" ht="58" customHeight="1">
      <x:c r="A51" s="1088" t="str">
        <x:v>OPSQ-02</x:v>
      </x:c>
      <x:c r="B51" s="1088" t="str">
        <x:v>Операционный директор — продажи</x:v>
      </x:c>
      <x:c r="C51" s="1088" t="str">
        <x:v>Факт продажи</x:v>
      </x:c>
      <x:c r="D51" s="1088" t="str">
        <x:v>Не считать продажей неотгруженный заказ</x:v>
      </x:c>
      <x:c r="E51" s="1088" t="str">
        <x:v>Отчёт может завышать результат</x:v>
      </x:c>
      <x:c r="F51" s="1088" t="str">
        <x:v>P0</x:v>
      </x:c>
      <x:c r="G51" s="1088" t="str">
        <x:v>OPS-002</x:v>
      </x:c>
      <x:c r="H51" s="1088" t="str">
        <x:v>Подтверждено или частично подтверждено указанными источниками; детали и ограничения отмечены в реестре</x:v>
      </x:c>
      <x:c r="I51" s="1088" t="str">
        <x:v>Сверить заказ, реализацию и отгрузку</x:v>
      </x:c>
      <x:c r="J51" s="1088" t="str">
        <x:v>Продажи / финансы</x:v>
      </x:c>
    </x:row>
    <x:row r="52" ht="58" customHeight="1">
      <x:c r="A52" s="1088" t="str">
        <x:v>OPSQ-03</x:v>
      </x:c>
      <x:c r="B52" s="1088" t="str">
        <x:v>Операционный директор — продажи</x:v>
      </x:c>
      <x:c r="C52" s="1088" t="str">
        <x:v>Клиент и менеджер</x:v>
      </x:c>
      <x:c r="D52" s="1088" t="str">
        <x:v>Единый владелец клиента, территории и канала</x:v>
      </x:c>
      <x:c r="E52" s="1088" t="str">
        <x:v>Дубли и смена ответственного искажают KPI</x:v>
      </x:c>
      <x:c r="F52" s="1088" t="str">
        <x:v>P0</x:v>
      </x:c>
      <x:c r="G52" s="1088" t="str">
        <x:v>OPS-003</x:v>
      </x:c>
      <x:c r="H52" s="1088" t="str">
        <x:v>Подтверждено или частично подтверждено указанными источниками; детали и ограничения отмечены в реестре</x:v>
      </x:c>
      <x:c r="I52" s="1088" t="str">
        <x:v>Очистить контрольную выборку</x:v>
      </x:c>
      <x:c r="J52" s="1088" t="str">
        <x:v>Владелец НСИ / продажи</x:v>
      </x:c>
    </x:row>
    <x:row r="53" ht="58" customHeight="1">
      <x:c r="A53" s="1088" t="str">
        <x:v>OPSQ-04</x:v>
      </x:c>
      <x:c r="B53" s="1088" t="str">
        <x:v>Операционный директор — продажи</x:v>
      </x:c>
      <x:c r="C53" s="1088" t="str">
        <x:v>Заказ клиента</x:v>
      </x:c>
      <x:c r="D53" s="1088" t="str">
        <x:v>Единый статус от запроса до возврата</x:v>
      </x:c>
      <x:c r="E53" s="1088" t="str">
        <x:v>Статусы находятся в документах и чатах</x:v>
      </x:c>
      <x:c r="F53" s="1088" t="str">
        <x:v>P1</x:v>
      </x:c>
      <x:c r="G53" s="1088" t="str">
        <x:v>OPS-005</x:v>
      </x:c>
      <x:c r="H53" s="1088" t="str">
        <x:v>Подтверждено или частично подтверждено указанными источниками; детали и ограничения отмечены в реестре</x:v>
      </x:c>
      <x:c r="I53" s="1088" t="str">
        <x:v>Провести 10 заказов сквозным тестом</x:v>
      </x:c>
      <x:c r="J53" s="1088" t="str">
        <x:v>Продажи / склад</x:v>
      </x:c>
    </x:row>
    <x:row r="54" ht="58" customHeight="1">
      <x:c r="A54" s="1088" t="str">
        <x:v>OPSQ-05</x:v>
      </x:c>
      <x:c r="B54" s="1088" t="str">
        <x:v>Операционный директор — продажи</x:v>
      </x:c>
      <x:c r="C54" s="1088" t="str">
        <x:v>Резерв и наличие</x:v>
      </x:c>
      <x:c r="D54" s="1088" t="str">
        <x:v>Обещать только подтверждённый остаток и дату</x:v>
      </x:c>
      <x:c r="E54" s="1088" t="str">
        <x:v>Учётный остаток может не совпадать с физическим</x:v>
      </x:c>
      <x:c r="F54" s="1088" t="str">
        <x:v>P0</x:v>
      </x:c>
      <x:c r="G54" s="1088" t="str">
        <x:v>STK-001,OPS-005</x:v>
      </x:c>
      <x:c r="H54" s="1088" t="str">
        <x:v>Подтверждено или частично подтверждено указанными источниками; детали и ограничения отмечены в реестре</x:v>
      </x:c>
      <x:c r="I54" s="1088" t="str">
        <x:v>Проверить 20 SKU</x:v>
      </x:c>
      <x:c r="J54" s="1088" t="str">
        <x:v>Склад / продажи</x:v>
      </x:c>
    </x:row>
    <x:row r="55" ht="58" customHeight="1">
      <x:c r="A55" s="1088" t="str">
        <x:v>OPSQ-06</x:v>
      </x:c>
      <x:c r="B55" s="1088" t="str">
        <x:v>Операционный директор — продажи</x:v>
      </x:c>
      <x:c r="C55" s="1088" t="str">
        <x:v>Просрочка</x:v>
      </x:c>
      <x:c r="D55" s="1088" t="str">
        <x:v>Автоматические сигналы по ответам, резервам и отгрузкам</x:v>
      </x:c>
      <x:c r="E55" s="1088" t="str">
        <x:v>Контроль зависит от памяти менеджера</x:v>
      </x:c>
      <x:c r="F55" s="1088" t="str">
        <x:v>P1</x:v>
      </x:c>
      <x:c r="G55" s="1088" t="str">
        <x:v>OPS-007</x:v>
      </x:c>
      <x:c r="H55" s="1088" t="str">
        <x:v>Подтверждено или частично подтверждено указанными источниками; детали и ограничения отмечены в реестре</x:v>
      </x:c>
      <x:c r="I55" s="1088" t="str">
        <x:v>Очередь исключений по пяти событиям</x:v>
      </x:c>
      <x:c r="J55" s="1088" t="str">
        <x:v>Операционный директор</x:v>
      </x:c>
    </x:row>
    <x:row r="56" ht="58" customHeight="1">
      <x:c r="A56" s="1088" t="str">
        <x:v>OPSQ-07</x:v>
      </x:c>
      <x:c r="B56" s="1088" t="str">
        <x:v>Операционный директор — продажи</x:v>
      </x:c>
      <x:c r="C56" s="1088" t="str">
        <x:v>Потерянный спрос</x:v>
      </x:c>
      <x:c r="D56" s="1088" t="str">
        <x:v>Причина и стоимость потерянной продажи</x:v>
      </x:c>
      <x:c r="E56" s="1088" t="str">
        <x:v>Нет товара, цена и срок не всегда попадают в аналитику</x:v>
      </x:c>
      <x:c r="F56" s="1088" t="str">
        <x:v>P1</x:v>
      </x:c>
      <x:c r="G56" s="1088" t="str">
        <x:v>OPS-004</x:v>
      </x:c>
      <x:c r="H56" s="1088" t="str">
        <x:v>Подтверждено или частично подтверждено указанными источниками; детали и ограничения отмечены в реестре</x:v>
      </x:c>
      <x:c r="I56" s="1088" t="str">
        <x:v>Проверить 30 отказов</x:v>
      </x:c>
      <x:c r="J56" s="1088" t="str">
        <x:v>Руководитель продаж</x:v>
      </x:c>
    </x:row>
    <x:row r="57" ht="58" customHeight="1">
      <x:c r="A57" s="1088" t="str">
        <x:v>OPSQ-08</x:v>
      </x:c>
      <x:c r="B57" s="1088" t="str">
        <x:v>Операционный директор — продажи</x:v>
      </x:c>
      <x:c r="C57" s="1088" t="str">
        <x:v>Скидки</x:v>
      </x:c>
      <x:c r="D57" s="1088" t="str">
        <x:v>Лимит скидки и минимальная маржа до подтверждения заказа</x:v>
      </x:c>
      <x:c r="E57" s="1088" t="str">
        <x:v>Скидка может применяться без полной себестоимости</x:v>
      </x:c>
      <x:c r="F57" s="1088" t="str">
        <x:v>P1</x:v>
      </x:c>
      <x:c r="G57" s="1088" t="str">
        <x:v>OPS-006</x:v>
      </x:c>
      <x:c r="H57" s="1088" t="str">
        <x:v>Подтверждено или частично подтверждено указанными источниками; детали и ограничения отмечены в реестре</x:v>
      </x:c>
      <x:c r="I57" s="1088" t="str">
        <x:v>Тестовые корзины и approval</x:v>
      </x:c>
      <x:c r="J57" s="1088" t="str">
        <x:v>Коммерция / финансы</x:v>
      </x:c>
    </x:row>
    <x:row r="58" ht="58" customHeight="1">
      <x:c r="A58" s="1088" t="str">
        <x:v>OPSQ-09</x:v>
      </x:c>
      <x:c r="B58" s="1088" t="str">
        <x:v>Операционный директор — продажи</x:v>
      </x:c>
      <x:c r="C58" s="1088" t="str">
        <x:v>Возвраты</x:v>
      </x:c>
      <x:c r="D58" s="1088" t="str">
        <x:v>Возврат связан с исходной продажей и причиной</x:v>
      </x:c>
      <x:c r="E58" s="1088" t="str">
        <x:v>Возврат искажает период и KPI</x:v>
      </x:c>
      <x:c r="F58" s="1088" t="str">
        <x:v>P1</x:v>
      </x:c>
      <x:c r="G58" s="1088" t="str">
        <x:v>OPS-001,OPS-005</x:v>
      </x:c>
      <x:c r="H58" s="1088" t="str">
        <x:v>Подтверждено или частично подтверждено указанными источниками; детали и ограничения отмечены в реестре</x:v>
      </x:c>
      <x:c r="I58" s="1088" t="str">
        <x:v>Проверить пять возвратов</x:v>
      </x:c>
      <x:c r="J58" s="1088" t="str">
        <x:v>Продажи / финансы</x:v>
      </x:c>
    </x:row>
    <x:row r="59" ht="58" customHeight="1">
      <x:c r="A59" s="1088" t="str">
        <x:v>OPSQ-10</x:v>
      </x:c>
      <x:c r="B59" s="1088" t="str">
        <x:v>Операционный директор — продажи</x:v>
      </x:c>
      <x:c r="C59" s="1088" t="str">
        <x:v>KPI менеджеров</x:v>
      </x:c>
      <x:c r="D59" s="1088" t="str">
        <x:v>Единые формулы продаж, маржи и конверсии</x:v>
      </x:c>
      <x:c r="E59" s="1088" t="str">
        <x:v>Отчёты могут считать показатели по-разному</x:v>
      </x:c>
      <x:c r="F59" s="1088" t="str">
        <x:v>P1</x:v>
      </x:c>
      <x:c r="G59" s="1088" t="str">
        <x:v>OPS-008</x:v>
      </x:c>
      <x:c r="H59" s="1088" t="str">
        <x:v>Подтверждено или частично подтверждено указанными источниками; детали и ограничения отмечены в реестре</x:v>
      </x:c>
      <x:c r="I59" s="1088" t="str">
        <x:v>Паспорта KPI</x:v>
      </x:c>
      <x:c r="J59" s="1088" t="str">
        <x:v>Операционный директор / финансы</x:v>
      </x:c>
    </x:row>
    <x:row r="60" ht="58" customHeight="1">
      <x:c r="A60" s="1088" t="str">
        <x:v>OPSQ-11</x:v>
      </x:c>
      <x:c r="B60" s="1088" t="str">
        <x:v>Операционный директор — продажи</x:v>
      </x:c>
      <x:c r="C60" s="1088" t="str">
        <x:v>Отчёт по товарам</x:v>
      </x:c>
      <x:c r="D60" s="1088" t="str">
        <x:v>Продажи, остаток, приход, перемещение, списание и маржа по SKU</x:v>
      </x:c>
      <x:c r="E60" s="1088" t="str">
        <x:v>Источник и полнота данных неоднородны</x:v>
      </x:c>
      <x:c r="F60" s="1088" t="str">
        <x:v>P1</x:v>
      </x:c>
      <x:c r="G60" s="1088" t="str">
        <x:v>SAL-003,SAL-006</x:v>
      </x:c>
      <x:c r="H60" s="1088" t="str">
        <x:v>Подтверждено или частично подтверждено указанными источниками; детали и ограничения отмечены в реестре</x:v>
      </x:c>
      <x:c r="I60" s="1088" t="str">
        <x:v>Сверить 20 SKU</x:v>
      </x:c>
      <x:c r="J60" s="1088" t="str">
        <x:v>Продажи / КМ</x:v>
      </x:c>
    </x:row>
    <x:row r="61" ht="58" customHeight="1">
      <x:c r="A61" s="1088" t="str">
        <x:v>OPSQ-12</x:v>
      </x:c>
      <x:c r="B61" s="1088" t="str">
        <x:v>Операционный директор — продажи</x:v>
      </x:c>
      <x:c r="C61" s="1088" t="str">
        <x:v>Роли</x:v>
      </x:c>
      <x:c r="D61" s="1088" t="str">
        <x:v>Разделить права цены, скидки, резерва и отгрузки</x:v>
      </x:c>
      <x:c r="E61" s="1088" t="str">
        <x:v>Широкие права затрудняют контроль</x:v>
      </x:c>
      <x:c r="F61" s="1088" t="str">
        <x:v>P1</x:v>
      </x:c>
      <x:c r="G61" s="1088" t="str">
        <x:v>OPS-006,NFR-006</x:v>
      </x:c>
      <x:c r="H61" s="1088" t="str">
        <x:v>Подтверждено или частично подтверждено указанными источниками; детали и ограничения отмечены в реестре</x:v>
      </x:c>
      <x:c r="I61" s="1088" t="str">
        <x:v>Матрица ролей и negative tests</x:v>
      </x:c>
      <x:c r="J61" s="1088" t="str">
        <x:v>Продажи / ИТ</x:v>
      </x:c>
    </x:row>
    <x:row r="62" ht="58" customHeight="1">
      <x:c r="A62" s="1088" t="str">
        <x:v>OPSQ-13</x:v>
      </x:c>
      <x:c r="B62" s="1088" t="str">
        <x:v>Операционный директор — продажи</x:v>
      </x:c>
      <x:c r="C62" s="1088" t="str">
        <x:v>Управленческий ритм</x:v>
      </x:c>
      <x:c r="D62" s="1088" t="str">
        <x:v>Ежедневный, недельный и месячный цикл контроля</x:v>
      </x:c>
      <x:c r="E62" s="1088" t="str">
        <x:v>Отчёт не работает без владельца и регламента</x:v>
      </x:c>
      <x:c r="F62" s="1088" t="str">
        <x:v>P0</x:v>
      </x:c>
      <x:c r="G62" s="1088" t="str">
        <x:v>OPS-001,OPS-007</x:v>
      </x:c>
      <x:c r="H62" s="1088" t="str">
        <x:v>Подтверждено или частично подтверждено указанными источниками; детали и ограничения отмечены в реестре</x:v>
      </x:c>
      <x:c r="I62" s="1088" t="str">
        <x:v>Регламент совещаний и протокол решений</x:v>
      </x:c>
      <x:c r="J62" s="1088" t="str">
        <x:v>Операционный директор</x:v>
      </x:c>
    </x:row>
  </x:sheetData>
  <x:mergeCells>
    <x:mergeCell ref="A1:J1"/>
    <x:mergeCell ref="A2:J2"/>
  </x:mergeCells>
  <x:conditionalFormatting sqref="F5:F62">
    <x:cfRule type="expression" dxfId="25" priority="1">
      <x:formula>F5="P0"</x:formula>
    </x:cfRule>
    <x:cfRule type="expression" dxfId="26" priority="2">
      <x:formula>F5="P1"</x:formula>
    </x:cfRule>
    <x:cfRule type="expression" dxfId="27" priority="3">
      <x:formula>F5="P2"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8f21fd3846f440e"/>
  </x:tableParts>
</x:worksheet>
</file>